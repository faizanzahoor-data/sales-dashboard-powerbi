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771c0a28ee1053e/Documents/"/>
    </mc:Choice>
  </mc:AlternateContent>
  <xr:revisionPtr revIDLastSave="0" documentId="8_{1B800CD4-5F8E-4A67-ABDB-AB3C4F3F1AEE}" xr6:coauthVersionLast="41" xr6:coauthVersionMax="41" xr10:uidLastSave="{00000000-0000-0000-0000-000000000000}"/>
  <bookViews>
    <workbookView xWindow="-110" yWindow="-110" windowWidth="19420" windowHeight="10420" tabRatio="500" xr2:uid="{00000000-000D-0000-FFFF-FFFF00000000}"/>
  </bookViews>
  <sheets>
    <sheet name="Dashboard" sheetId="1" r:id="rId1"/>
    <sheet name="Raw Data" sheetId="2" r:id="rId2"/>
    <sheet name="Clean Data" sheetId="3" r:id="rId3"/>
  </sheets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9" i="1" l="1"/>
  <c r="B19" i="1"/>
  <c r="F18" i="1"/>
  <c r="C18" i="1"/>
  <c r="B18" i="1"/>
  <c r="F17" i="1"/>
  <c r="C17" i="1"/>
  <c r="B17" i="1"/>
  <c r="F16" i="1"/>
  <c r="C16" i="1"/>
  <c r="B16" i="1"/>
  <c r="K15" i="1"/>
  <c r="J15" i="1"/>
  <c r="F15" i="1"/>
  <c r="C15" i="1"/>
  <c r="B15" i="1"/>
  <c r="K14" i="1"/>
  <c r="J14" i="1"/>
  <c r="F14" i="1"/>
  <c r="C14" i="1"/>
  <c r="B14" i="1"/>
  <c r="K13" i="1"/>
  <c r="J13" i="1"/>
  <c r="F13" i="1"/>
  <c r="C13" i="1"/>
  <c r="B13" i="1"/>
  <c r="K8" i="1"/>
  <c r="H8" i="1"/>
  <c r="E8" i="1"/>
  <c r="B8" i="1"/>
  <c r="K5" i="1"/>
  <c r="H5" i="1"/>
  <c r="E5" i="1"/>
  <c r="B5" i="1"/>
</calcChain>
</file>

<file path=xl/sharedStrings.xml><?xml version="1.0" encoding="utf-8"?>
<sst xmlns="http://schemas.openxmlformats.org/spreadsheetml/2006/main" count="7155" uniqueCount="2183">
  <si>
    <t>Customer Dashboard</t>
  </si>
  <si>
    <t>Source: Clean Data sheet — auto-updates when that sheet changes</t>
  </si>
  <si>
    <t>Total Customers</t>
  </si>
  <si>
    <t>Total Revenue</t>
  </si>
  <si>
    <t>Avg Revenue / Customer</t>
  </si>
  <si>
    <t>Countries Served</t>
  </si>
  <si>
    <t>Missing Email</t>
  </si>
  <si>
    <t>Missing Phone</t>
  </si>
  <si>
    <t>Missing Signup Date</t>
  </si>
  <si>
    <t>Invalid Email Format</t>
  </si>
  <si>
    <t>Revenue by Country</t>
  </si>
  <si>
    <t>Signups by Year</t>
  </si>
  <si>
    <t>Data Quality Summary</t>
  </si>
  <si>
    <t>Country</t>
  </si>
  <si>
    <t>Customers</t>
  </si>
  <si>
    <t>Year</t>
  </si>
  <si>
    <t>New Customers</t>
  </si>
  <si>
    <t>Field</t>
  </si>
  <si>
    <t>Missing</t>
  </si>
  <si>
    <t>% Missing</t>
  </si>
  <si>
    <t>Australia</t>
  </si>
  <si>
    <t>Email</t>
  </si>
  <si>
    <t>Canada</t>
  </si>
  <si>
    <t>Phone</t>
  </si>
  <si>
    <t>France</t>
  </si>
  <si>
    <t>Signup Date</t>
  </si>
  <si>
    <t>Germany</t>
  </si>
  <si>
    <t>India</t>
  </si>
  <si>
    <t>United Kingdom</t>
  </si>
  <si>
    <t>United States</t>
  </si>
  <si>
    <t>CustomerID</t>
  </si>
  <si>
    <t>FullName</t>
  </si>
  <si>
    <t>SignupDate</t>
  </si>
  <si>
    <t>Revenue</t>
  </si>
  <si>
    <t>CUST1000</t>
  </si>
  <si>
    <t>Omar Fernandez</t>
  </si>
  <si>
    <t>omar.fernandez90@yahoo.com</t>
  </si>
  <si>
    <t>281.437.5411</t>
  </si>
  <si>
    <t>2024-05-19</t>
  </si>
  <si>
    <t>CUST1001</t>
  </si>
  <si>
    <t>Nadia Smith</t>
  </si>
  <si>
    <t>-</t>
  </si>
  <si>
    <t>518.631.4115</t>
  </si>
  <si>
    <t>2020-01-05</t>
  </si>
  <si>
    <t>CUST1002</t>
  </si>
  <si>
    <t>Mary Patel</t>
  </si>
  <si>
    <t>mary.patel40@company.co</t>
  </si>
  <si>
    <t>19-Oct-2019</t>
  </si>
  <si>
    <t>CUST1003</t>
  </si>
  <si>
    <t>Mary Singh</t>
  </si>
  <si>
    <t>mary.singh51@company.co</t>
  </si>
  <si>
    <t>514-776-7123</t>
  </si>
  <si>
    <t>CUST1004</t>
  </si>
  <si>
    <t>Rohan Singh</t>
  </si>
  <si>
    <t>rohan.singh13@outlook.com</t>
  </si>
  <si>
    <t>+16544328566</t>
  </si>
  <si>
    <t>2023-09-19</t>
  </si>
  <si>
    <t>CUST1005</t>
  </si>
  <si>
    <t>Noah Ahmed</t>
  </si>
  <si>
    <t>noah.ahmed43@yahoo.com</t>
  </si>
  <si>
    <t>654-237-2029</t>
  </si>
  <si>
    <t>2022-01-01</t>
  </si>
  <si>
    <t>CUST1006</t>
  </si>
  <si>
    <t>Omar Costa</t>
  </si>
  <si>
    <t>omar.costa91@company.co</t>
  </si>
  <si>
    <t>2020-05-08</t>
  </si>
  <si>
    <t>CUST1007</t>
  </si>
  <si>
    <t>Anya Novak</t>
  </si>
  <si>
    <t>2020-12-18</t>
  </si>
  <si>
    <t>CUST1008</t>
  </si>
  <si>
    <t>Alex Fernandez</t>
  </si>
  <si>
    <t>alex.fernandez69@yahoo.com</t>
  </si>
  <si>
    <t>(384) 223-5527</t>
  </si>
  <si>
    <t>2023-03-22</t>
  </si>
  <si>
    <t>CUST1009</t>
  </si>
  <si>
    <t>Priya Smith</t>
  </si>
  <si>
    <t>priya.smith27@gmail.com</t>
  </si>
  <si>
    <t>+14727419640</t>
  </si>
  <si>
    <t>2019-11-04</t>
  </si>
  <si>
    <t>CUST1010</t>
  </si>
  <si>
    <t>Leo Ahmed</t>
  </si>
  <si>
    <t>leo.ahmed8 at outlook.com</t>
  </si>
  <si>
    <t>818-486-1692</t>
  </si>
  <si>
    <t>2023-01-10</t>
  </si>
  <si>
    <t>CUST1011</t>
  </si>
  <si>
    <t>Mira Lopez</t>
  </si>
  <si>
    <t>mira.lopez34@outlook.com</t>
  </si>
  <si>
    <t>(919) 588-2756</t>
  </si>
  <si>
    <t>CUST1012</t>
  </si>
  <si>
    <t>Rohan Ahmed</t>
  </si>
  <si>
    <t>rohan.ahmed90@company.co</t>
  </si>
  <si>
    <t>751-395-9177</t>
  </si>
  <si>
    <t>10-Apr-2021</t>
  </si>
  <si>
    <t>CUST1013</t>
  </si>
  <si>
    <t>Ivan Patel</t>
  </si>
  <si>
    <t>ivan.patel26@yahoo.com</t>
  </si>
  <si>
    <t>CUST1014</t>
  </si>
  <si>
    <t>Alex Jones</t>
  </si>
  <si>
    <t>alex.jones65@outlook.com</t>
  </si>
  <si>
    <t>621.788.9611</t>
  </si>
  <si>
    <t>CUST1015</t>
  </si>
  <si>
    <t>Rohan Patel</t>
  </si>
  <si>
    <t>258-320-6154</t>
  </si>
  <si>
    <t>2020-09-03</t>
  </si>
  <si>
    <t>CUST1016</t>
  </si>
  <si>
    <t>Emma Singh</t>
  </si>
  <si>
    <t>emma.singh40@company.co</t>
  </si>
  <si>
    <t>836-583-1663</t>
  </si>
  <si>
    <t>08-Aug-2021</t>
  </si>
  <si>
    <t>CUST1017</t>
  </si>
  <si>
    <t>Fatima Ahmed</t>
  </si>
  <si>
    <t>fatima.ahmed20@yahoo.com</t>
  </si>
  <si>
    <t>+17696968649</t>
  </si>
  <si>
    <t>CUST1018</t>
  </si>
  <si>
    <t>Yusuf Singh</t>
  </si>
  <si>
    <t>+19765291534</t>
  </si>
  <si>
    <t>2022-05-10</t>
  </si>
  <si>
    <t>CUST1019</t>
  </si>
  <si>
    <t>alex.fernandez81@outlook.com</t>
  </si>
  <si>
    <t>799-510-9808</t>
  </si>
  <si>
    <t>CUST1020</t>
  </si>
  <si>
    <t>Ivan Lopez</t>
  </si>
  <si>
    <t>ivan.lopez27@outlook.com</t>
  </si>
  <si>
    <t>858-742-5431</t>
  </si>
  <si>
    <t>28-Oct-2022</t>
  </si>
  <si>
    <t>CUST1021</t>
  </si>
  <si>
    <t>Anya Malik</t>
  </si>
  <si>
    <t>anya.malik16@outlook.com</t>
  </si>
  <si>
    <t>556-625-7131</t>
  </si>
  <si>
    <t>2019-09-20</t>
  </si>
  <si>
    <t>CUST1022</t>
  </si>
  <si>
    <t>Rohan Fernandez</t>
  </si>
  <si>
    <t>rohan.fernandez2 at outlook.com</t>
  </si>
  <si>
    <t>+13441125393</t>
  </si>
  <si>
    <t>2021-09-17</t>
  </si>
  <si>
    <t>CUST1023</t>
  </si>
  <si>
    <t>Alex Malik</t>
  </si>
  <si>
    <t>alex.malik42@company.co</t>
  </si>
  <si>
    <t>2020-10-21</t>
  </si>
  <si>
    <t>CUST1025</t>
  </si>
  <si>
    <t>Nadia Patel</t>
  </si>
  <si>
    <t>nadia.patel30@gmail.com</t>
  </si>
  <si>
    <t>+13132898389</t>
  </si>
  <si>
    <t>12-Mar-2022</t>
  </si>
  <si>
    <t>CUST1026</t>
  </si>
  <si>
    <t>John Patel</t>
  </si>
  <si>
    <t>john.patel58@gmail.com</t>
  </si>
  <si>
    <t>+12316286837</t>
  </si>
  <si>
    <t>2022-06-22</t>
  </si>
  <si>
    <t>CUST1027</t>
  </si>
  <si>
    <t>Emma Jones</t>
  </si>
  <si>
    <t>emma.jones52@outlook.com</t>
  </si>
  <si>
    <t>+13018366659</t>
  </si>
  <si>
    <t>2019-05-12</t>
  </si>
  <si>
    <t>CUST1028</t>
  </si>
  <si>
    <t>Anya Patel</t>
  </si>
  <si>
    <t>anya.patel72@gmail.com</t>
  </si>
  <si>
    <t>345-393-7914</t>
  </si>
  <si>
    <t>2021-03-10</t>
  </si>
  <si>
    <t>CUST1029</t>
  </si>
  <si>
    <t>Yusuf Malik</t>
  </si>
  <si>
    <t>yusuf.malik4@yahoo.com</t>
  </si>
  <si>
    <t>245.229.9068</t>
  </si>
  <si>
    <t>CUST1030</t>
  </si>
  <si>
    <t>Ali Fernandez</t>
  </si>
  <si>
    <t>ali.fernandez15@company.co</t>
  </si>
  <si>
    <t>339.462.3204</t>
  </si>
  <si>
    <t>09-Sep-2019</t>
  </si>
  <si>
    <t>CUST1031</t>
  </si>
  <si>
    <t>emma.singh18@yahoo.com</t>
  </si>
  <si>
    <t>335.271.4728</t>
  </si>
  <si>
    <t>2024-02-23</t>
  </si>
  <si>
    <t>CUST1032</t>
  </si>
  <si>
    <t>John Smith</t>
  </si>
  <si>
    <t>john.smith97@company.co</t>
  </si>
  <si>
    <t>2022-10-19</t>
  </si>
  <si>
    <t>CUST1033</t>
  </si>
  <si>
    <t>Fatima Lopez</t>
  </si>
  <si>
    <t>fatima.lopez30@outlook.com</t>
  </si>
  <si>
    <t>810.529.1745</t>
  </si>
  <si>
    <t>2021-11-05</t>
  </si>
  <si>
    <t>CUST1034</t>
  </si>
  <si>
    <t>Sara Patel</t>
  </si>
  <si>
    <t>sara.patel47@gmail.com</t>
  </si>
  <si>
    <t>+18907660931</t>
  </si>
  <si>
    <t>2021-01-01</t>
  </si>
  <si>
    <t>CUST1035</t>
  </si>
  <si>
    <t>ivan.patel35@gmail.com</t>
  </si>
  <si>
    <t>476.274.5602</t>
  </si>
  <si>
    <t>23-Feb-2023</t>
  </si>
  <si>
    <t>CUST1036</t>
  </si>
  <si>
    <t>Elena Ahmed</t>
  </si>
  <si>
    <t>elena.ahmed91@yahoo.com</t>
  </si>
  <si>
    <t>(583) 678-8966</t>
  </si>
  <si>
    <t>CUST1037</t>
  </si>
  <si>
    <t>Omar Malik</t>
  </si>
  <si>
    <t>omar.malik57@outlook.com</t>
  </si>
  <si>
    <t>2024-05-16</t>
  </si>
  <si>
    <t>CUST1038</t>
  </si>
  <si>
    <t>Emma Costa</t>
  </si>
  <si>
    <t>emma.costa97@outlook.com</t>
  </si>
  <si>
    <t>(695) 900-5584</t>
  </si>
  <si>
    <t>2023-05-23</t>
  </si>
  <si>
    <t>CUST1039</t>
  </si>
  <si>
    <t>Noah Patel</t>
  </si>
  <si>
    <t>noah.patel47@gmail.com</t>
  </si>
  <si>
    <t>(973) 951-7882</t>
  </si>
  <si>
    <t>CUST1040</t>
  </si>
  <si>
    <t>Sara Malik</t>
  </si>
  <si>
    <t>sara.malik25@outlook.com</t>
  </si>
  <si>
    <t>(285) 928-4215</t>
  </si>
  <si>
    <t>CUST1041</t>
  </si>
  <si>
    <t>Priya Novak</t>
  </si>
  <si>
    <t>priya.novak46@company.co</t>
  </si>
  <si>
    <t>567.839.7537</t>
  </si>
  <si>
    <t>09-Oct-2022</t>
  </si>
  <si>
    <t>CUST1042</t>
  </si>
  <si>
    <t>leo.ahmed68@outlook.com</t>
  </si>
  <si>
    <t>2021-09-01</t>
  </si>
  <si>
    <t>CUST1043</t>
  </si>
  <si>
    <t>John Jones</t>
  </si>
  <si>
    <t>john.jones33@yahoo.com</t>
  </si>
  <si>
    <t>(600) 512-5415</t>
  </si>
  <si>
    <t>2021-05-08</t>
  </si>
  <si>
    <t>CUST1044</t>
  </si>
  <si>
    <t>Kabir Ahmed</t>
  </si>
  <si>
    <t>kabir.ahmed49@gmail.com</t>
  </si>
  <si>
    <t>(303) 780-9657</t>
  </si>
  <si>
    <t>2023-05-29</t>
  </si>
  <si>
    <t>CUST1045</t>
  </si>
  <si>
    <t>Priya Ahmed</t>
  </si>
  <si>
    <t>priya.ahmed62@yahoo.com</t>
  </si>
  <si>
    <t>+16235644902</t>
  </si>
  <si>
    <t>CUST1046</t>
  </si>
  <si>
    <t>Elena Singh</t>
  </si>
  <si>
    <t>elena.singh69@outlook.com</t>
  </si>
  <si>
    <t>621-369-8905</t>
  </si>
  <si>
    <t>2023-05-14</t>
  </si>
  <si>
    <t>CUST1048</t>
  </si>
  <si>
    <t>Leo Malik</t>
  </si>
  <si>
    <t>leo.malik42@yahoo.com</t>
  </si>
  <si>
    <t>+16933288428</t>
  </si>
  <si>
    <t>CUST1049</t>
  </si>
  <si>
    <t>rohan.fernandez6@outlook.com</t>
  </si>
  <si>
    <t>244-432-7185</t>
  </si>
  <si>
    <t>CUST1050</t>
  </si>
  <si>
    <t>Elena Patel</t>
  </si>
  <si>
    <t>elena.patel65@company.co</t>
  </si>
  <si>
    <t>852-381-9244</t>
  </si>
  <si>
    <t>CUST1051</t>
  </si>
  <si>
    <t>john.jones64@outlook.com</t>
  </si>
  <si>
    <t>2024-03-05</t>
  </si>
  <si>
    <t>CUST1052</t>
  </si>
  <si>
    <t>John Novak</t>
  </si>
  <si>
    <t>(580) 898-2924</t>
  </si>
  <si>
    <t>2023-01-02</t>
  </si>
  <si>
    <t>CUST1053</t>
  </si>
  <si>
    <t>Alex Ahmed</t>
  </si>
  <si>
    <t>alex.ahmed38@gmail.com</t>
  </si>
  <si>
    <t>(990) 743-2103</t>
  </si>
  <si>
    <t>2020-05-01</t>
  </si>
  <si>
    <t>CUST1054</t>
  </si>
  <si>
    <t>Anya Ahmed</t>
  </si>
  <si>
    <t>anya.ahmed13@company.co</t>
  </si>
  <si>
    <t>(747) 784-1142</t>
  </si>
  <si>
    <t>2019-02-10</t>
  </si>
  <si>
    <t>CUST1055</t>
  </si>
  <si>
    <t>mary.patel58@outlook.com</t>
  </si>
  <si>
    <t>+14473685072</t>
  </si>
  <si>
    <t>2023-05-10</t>
  </si>
  <si>
    <t>CUST1056</t>
  </si>
  <si>
    <t>anya.patel88@gmail.com</t>
  </si>
  <si>
    <t>973-519-2088</t>
  </si>
  <si>
    <t>20-Aug-2023</t>
  </si>
  <si>
    <t>CUST1057</t>
  </si>
  <si>
    <t>Rohan Lopez</t>
  </si>
  <si>
    <t>rohan.lopez29@yahoo.com</t>
  </si>
  <si>
    <t>(244) 531-5409</t>
  </si>
  <si>
    <t>2023-07-10</t>
  </si>
  <si>
    <t>CUST1059</t>
  </si>
  <si>
    <t>john.smith20@gmail.com</t>
  </si>
  <si>
    <t>209.924.5208</t>
  </si>
  <si>
    <t>09-Jul-2021</t>
  </si>
  <si>
    <t>CUST1060</t>
  </si>
  <si>
    <t>mary.patel20@outlook.com</t>
  </si>
  <si>
    <t>(938) 916-3592</t>
  </si>
  <si>
    <t>2021-12-09</t>
  </si>
  <si>
    <t>CUST1061</t>
  </si>
  <si>
    <t>Rohan Malik</t>
  </si>
  <si>
    <t>rohan.malik5@gmail.com</t>
  </si>
  <si>
    <t>549-739-3755</t>
  </si>
  <si>
    <t>2022-12-13</t>
  </si>
  <si>
    <t>CUST1062</t>
  </si>
  <si>
    <t>Fatima Novak</t>
  </si>
  <si>
    <t>fatima.novak81@yahoo.com</t>
  </si>
  <si>
    <t>+19730255880</t>
  </si>
  <si>
    <t>2021-02-06</t>
  </si>
  <si>
    <t>CUST1063</t>
  </si>
  <si>
    <t>Emma Smith</t>
  </si>
  <si>
    <t>emma.smith57@yahoo.com</t>
  </si>
  <si>
    <t>+16211151198</t>
  </si>
  <si>
    <t>2021-10-19</t>
  </si>
  <si>
    <t>CUST1064</t>
  </si>
  <si>
    <t>Yusuf Patel</t>
  </si>
  <si>
    <t>yusuf.patel40@company.co</t>
  </si>
  <si>
    <t>422-596-8363</t>
  </si>
  <si>
    <t>2019-04-26</t>
  </si>
  <si>
    <t>CUST1065</t>
  </si>
  <si>
    <t>Noah Singh</t>
  </si>
  <si>
    <t>noah.singh88@company.co</t>
  </si>
  <si>
    <t>280-529-6969</t>
  </si>
  <si>
    <t>2023-10-09</t>
  </si>
  <si>
    <t>CUST1066</t>
  </si>
  <si>
    <t>John Malik</t>
  </si>
  <si>
    <t>john.malik17@gmail.com</t>
  </si>
  <si>
    <t>+12831873798</t>
  </si>
  <si>
    <t>2024-04-21</t>
  </si>
  <si>
    <t>CUST1067</t>
  </si>
  <si>
    <t>Fatima Patel</t>
  </si>
  <si>
    <t>fatima.patel67@gmail.com</t>
  </si>
  <si>
    <t>+17644559259</t>
  </si>
  <si>
    <t>2019-04-05</t>
  </si>
  <si>
    <t>CUST1068</t>
  </si>
  <si>
    <t>fatima.novak91@yahoo.com</t>
  </si>
  <si>
    <t>846-298-5457</t>
  </si>
  <si>
    <t>28-Jul-2023</t>
  </si>
  <si>
    <t>CUST1069</t>
  </si>
  <si>
    <t>priya.ahmed64@outlook.com</t>
  </si>
  <si>
    <t>374.537.5597</t>
  </si>
  <si>
    <t>21-Dec-2019</t>
  </si>
  <si>
    <t>CUST1070</t>
  </si>
  <si>
    <t>John Costa</t>
  </si>
  <si>
    <t>john.costa82@outlook.com</t>
  </si>
  <si>
    <t>361-650-1047</t>
  </si>
  <si>
    <t>2020-12-26</t>
  </si>
  <si>
    <t>CUST1071</t>
  </si>
  <si>
    <t>Omar Novak</t>
  </si>
  <si>
    <t>omar.novak57@gmail.com</t>
  </si>
  <si>
    <t>305-328-7235</t>
  </si>
  <si>
    <t>28-Jan-2024</t>
  </si>
  <si>
    <t>CUST1072</t>
  </si>
  <si>
    <t>Leo Lopez</t>
  </si>
  <si>
    <t>leo.lopez35@outlook.com</t>
  </si>
  <si>
    <t>266-639-3605</t>
  </si>
  <si>
    <t>18-Feb-2024</t>
  </si>
  <si>
    <t>CUST1073</t>
  </si>
  <si>
    <t>Mary Costa</t>
  </si>
  <si>
    <t>mary.costa51@gmail.com</t>
  </si>
  <si>
    <t>11-Feb-2021</t>
  </si>
  <si>
    <t>CUST1074</t>
  </si>
  <si>
    <t>omar.malik68@gmail.com</t>
  </si>
  <si>
    <t>966-255-5465</t>
  </si>
  <si>
    <t>2021-10-24</t>
  </si>
  <si>
    <t>CUST1075</t>
  </si>
  <si>
    <t>Noah Lopez</t>
  </si>
  <si>
    <t>noah.lopez72@gmail.com</t>
  </si>
  <si>
    <t>(635) 628-5205</t>
  </si>
  <si>
    <t>2024-03-16</t>
  </si>
  <si>
    <t>CUST1077</t>
  </si>
  <si>
    <t>john.malik86@yahoo.com</t>
  </si>
  <si>
    <t>CUST1078</t>
  </si>
  <si>
    <t>priya.ahmed5@company.co</t>
  </si>
  <si>
    <t>567.578.7245</t>
  </si>
  <si>
    <t>CUST1079</t>
  </si>
  <si>
    <t>Anya Fernandez</t>
  </si>
  <si>
    <t>anya.fernandez13@outlook.com</t>
  </si>
  <si>
    <t>2020-12-09</t>
  </si>
  <si>
    <t>CUST1081</t>
  </si>
  <si>
    <t>Layla Jones</t>
  </si>
  <si>
    <t>layla.jones1@gmail.com</t>
  </si>
  <si>
    <t>CUST1082</t>
  </si>
  <si>
    <t>yusuf.patel96@gmail.com</t>
  </si>
  <si>
    <t>23-Nov-2019</t>
  </si>
  <si>
    <t>CUST1083</t>
  </si>
  <si>
    <t>Yusuf Jones</t>
  </si>
  <si>
    <t>(529) 809-1382</t>
  </si>
  <si>
    <t>2021-12-19</t>
  </si>
  <si>
    <t>CUST1084</t>
  </si>
  <si>
    <t>alex.jones3@yahoo.com</t>
  </si>
  <si>
    <t>08-Nov-2019</t>
  </si>
  <si>
    <t>CUST1085</t>
  </si>
  <si>
    <t>Priya Singh</t>
  </si>
  <si>
    <t>priya.singh12@company.co</t>
  </si>
  <si>
    <t>+14058266961</t>
  </si>
  <si>
    <t>CUST1086</t>
  </si>
  <si>
    <t>Kabir Patel</t>
  </si>
  <si>
    <t>(711) 595-5385</t>
  </si>
  <si>
    <t>2020-08-03</t>
  </si>
  <si>
    <t>CUST1087</t>
  </si>
  <si>
    <t>Omar Patel</t>
  </si>
  <si>
    <t>418-284-1515</t>
  </si>
  <si>
    <t>2019-10-10</t>
  </si>
  <si>
    <t>CUST1088</t>
  </si>
  <si>
    <t>Layla Lopez</t>
  </si>
  <si>
    <t>layla.lopez41@outlook.com</t>
  </si>
  <si>
    <t>266.773.5819</t>
  </si>
  <si>
    <t>2020-12-10</t>
  </si>
  <si>
    <t>CUST1089</t>
  </si>
  <si>
    <t>noah.ahmed27@company.co</t>
  </si>
  <si>
    <t>29-Apr-2021</t>
  </si>
  <si>
    <t>CUST1090</t>
  </si>
  <si>
    <t>Ivan Novak</t>
  </si>
  <si>
    <t>ivan.novak28@outlook.com</t>
  </si>
  <si>
    <t>711.455.9038</t>
  </si>
  <si>
    <t>2021-04-17</t>
  </si>
  <si>
    <t>CUST1091</t>
  </si>
  <si>
    <t>688.946.1087</t>
  </si>
  <si>
    <t>03-Apr-2024</t>
  </si>
  <si>
    <t>CUST1092</t>
  </si>
  <si>
    <t>ivan.novak95@gmail.com</t>
  </si>
  <si>
    <t>(234) 859-1602</t>
  </si>
  <si>
    <t>2024-02-21</t>
  </si>
  <si>
    <t>CUST1093</t>
  </si>
  <si>
    <t>Layla Fernandez</t>
  </si>
  <si>
    <t>layla.fernandez82@gmail.com</t>
  </si>
  <si>
    <t>+14144556272</t>
  </si>
  <si>
    <t>2022-09-21</t>
  </si>
  <si>
    <t>CUST1094</t>
  </si>
  <si>
    <t>Kabir Jones</t>
  </si>
  <si>
    <t>kabir.jones25@yahoo.com</t>
  </si>
  <si>
    <t>+16786634532</t>
  </si>
  <si>
    <t>2021-05-31</t>
  </si>
  <si>
    <t>CUST1095</t>
  </si>
  <si>
    <t>yusuf.jones78@company.co</t>
  </si>
  <si>
    <t>888-707-6110</t>
  </si>
  <si>
    <t>2021-07-28</t>
  </si>
  <si>
    <t>CUST1096</t>
  </si>
  <si>
    <t>Omar Ahmed</t>
  </si>
  <si>
    <t>omar.ahmed96@company.co</t>
  </si>
  <si>
    <t>+18492222976</t>
  </si>
  <si>
    <t>2022-04-13</t>
  </si>
  <si>
    <t>CUST1097</t>
  </si>
  <si>
    <t>Mary Novak</t>
  </si>
  <si>
    <t>mary.novak7@gmail.com</t>
  </si>
  <si>
    <t>2022-04-24</t>
  </si>
  <si>
    <t>CUST1098</t>
  </si>
  <si>
    <t>Sara Costa</t>
  </si>
  <si>
    <t>sara.costa20@outlook.com</t>
  </si>
  <si>
    <t>380-381-4697</t>
  </si>
  <si>
    <t>01-Aug-2023</t>
  </si>
  <si>
    <t>CUST1099</t>
  </si>
  <si>
    <t>Anya Smith</t>
  </si>
  <si>
    <t>anya.smith34@outlook.com</t>
  </si>
  <si>
    <t>2020-06-12</t>
  </si>
  <si>
    <t>CUST1100</t>
  </si>
  <si>
    <t>Leo Novak</t>
  </si>
  <si>
    <t>leo.novak72@gmail.com</t>
  </si>
  <si>
    <t>611.490.6507</t>
  </si>
  <si>
    <t>2023-02-12</t>
  </si>
  <si>
    <t>CUST1101</t>
  </si>
  <si>
    <t>Ali Patel</t>
  </si>
  <si>
    <t>ali.patel59@yahoo.com</t>
  </si>
  <si>
    <t>CUST1103</t>
  </si>
  <si>
    <t>Priya Costa</t>
  </si>
  <si>
    <t>priya.costa99@yahoo.com</t>
  </si>
  <si>
    <t>(652) 970-2853</t>
  </si>
  <si>
    <t>2024-02-17</t>
  </si>
  <si>
    <t>CUST1104</t>
  </si>
  <si>
    <t>Sara Ahmed</t>
  </si>
  <si>
    <t>sara.ahmed87@yahoo.com</t>
  </si>
  <si>
    <t>CUST1105</t>
  </si>
  <si>
    <t>Noah Novak</t>
  </si>
  <si>
    <t>noah.novak5@company.co</t>
  </si>
  <si>
    <t>2024-09-04</t>
  </si>
  <si>
    <t>CUST1106</t>
  </si>
  <si>
    <t>Kabir Novak</t>
  </si>
  <si>
    <t>kabir.novak59@gmail.com</t>
  </si>
  <si>
    <t>769-581-2622</t>
  </si>
  <si>
    <t>CUST1107</t>
  </si>
  <si>
    <t>Leo Fernandez</t>
  </si>
  <si>
    <t>leo.fernandez5@yahoo.com</t>
  </si>
  <si>
    <t>384.616.9703</t>
  </si>
  <si>
    <t>13-Jul-2021</t>
  </si>
  <si>
    <t>CUST1108</t>
  </si>
  <si>
    <t>rohan.fernandez43 at yahoo.com</t>
  </si>
  <si>
    <t>2021-06-05</t>
  </si>
  <si>
    <t>CUST1109</t>
  </si>
  <si>
    <t>omar.malik44 at outlook.com</t>
  </si>
  <si>
    <t>845-723-1814</t>
  </si>
  <si>
    <t>24-Mar-2020</t>
  </si>
  <si>
    <t>CUST1110</t>
  </si>
  <si>
    <t>leo.ahmed76 at company.co</t>
  </si>
  <si>
    <t>2020-03-17</t>
  </si>
  <si>
    <t>CUST1111</t>
  </si>
  <si>
    <t>+18790965496</t>
  </si>
  <si>
    <t>01-Apr-2022</t>
  </si>
  <si>
    <t>CUST1112</t>
  </si>
  <si>
    <t>priya.ahmed52@gmail.com</t>
  </si>
  <si>
    <t>2020-07-18</t>
  </si>
  <si>
    <t>CUST1113</t>
  </si>
  <si>
    <t>Emma Malik</t>
  </si>
  <si>
    <t>emma.malik54@outlook.com</t>
  </si>
  <si>
    <t>(906) 250-1724</t>
  </si>
  <si>
    <t>2022-01-07</t>
  </si>
  <si>
    <t>CUST1114</t>
  </si>
  <si>
    <t>noah.singh98@gmail.com</t>
  </si>
  <si>
    <t>(500) 821-7874</t>
  </si>
  <si>
    <t>2023-12-23</t>
  </si>
  <si>
    <t>CUST1115</t>
  </si>
  <si>
    <t>Elena Smith</t>
  </si>
  <si>
    <t>732-489-8903</t>
  </si>
  <si>
    <t>CUST1116</t>
  </si>
  <si>
    <t>emma.malik26@yahoo.com</t>
  </si>
  <si>
    <t>(864) 771-2322</t>
  </si>
  <si>
    <t>CUST1117</t>
  </si>
  <si>
    <t>emma.smith38@gmail.com</t>
  </si>
  <si>
    <t>472-527-6603</t>
  </si>
  <si>
    <t>2019-06-13</t>
  </si>
  <si>
    <t>CUST1118</t>
  </si>
  <si>
    <t>943.764.8643</t>
  </si>
  <si>
    <t>2023-12-13</t>
  </si>
  <si>
    <t>CUST1119</t>
  </si>
  <si>
    <t>ali.fernandez55@yahoo.com</t>
  </si>
  <si>
    <t>741-549-4623</t>
  </si>
  <si>
    <t>2019-03-08</t>
  </si>
  <si>
    <t>CUST1120</t>
  </si>
  <si>
    <t>Emma Lopez</t>
  </si>
  <si>
    <t>emma.lopez28@gmail.com</t>
  </si>
  <si>
    <t>2020-01-09</t>
  </si>
  <si>
    <t>CUST1121</t>
  </si>
  <si>
    <t>Leo Jones</t>
  </si>
  <si>
    <t>leo.jones93@outlook.com</t>
  </si>
  <si>
    <t>+16543167699</t>
  </si>
  <si>
    <t>2022-05-24</t>
  </si>
  <si>
    <t>CUST1122</t>
  </si>
  <si>
    <t>rohan.ahmed13@company.co</t>
  </si>
  <si>
    <t>+18793870145</t>
  </si>
  <si>
    <t>2022-01-11</t>
  </si>
  <si>
    <t>CUST1123</t>
  </si>
  <si>
    <t>anya.patel29@gmail.com</t>
  </si>
  <si>
    <t>968.335.8684</t>
  </si>
  <si>
    <t>CUST1124</t>
  </si>
  <si>
    <t>Kabir Singh</t>
  </si>
  <si>
    <t>kabir.singh34@yahoo.com</t>
  </si>
  <si>
    <t>+17035758640</t>
  </si>
  <si>
    <t>2019-03-16</t>
  </si>
  <si>
    <t>CUST1125</t>
  </si>
  <si>
    <t>omar.costa64@company.co</t>
  </si>
  <si>
    <t>CUST1126</t>
  </si>
  <si>
    <t>mary.singh67@gmail.com</t>
  </si>
  <si>
    <t>+17074857714</t>
  </si>
  <si>
    <t>2024-05-02</t>
  </si>
  <si>
    <t>CUST1127</t>
  </si>
  <si>
    <t>Ali Costa</t>
  </si>
  <si>
    <t>ali.costa64@company.co</t>
  </si>
  <si>
    <t>894-812-9116</t>
  </si>
  <si>
    <t>2020-02-18</t>
  </si>
  <si>
    <t>CUST1128</t>
  </si>
  <si>
    <t>Mira Ahmed</t>
  </si>
  <si>
    <t>mira.ahmed88@company.co</t>
  </si>
  <si>
    <t>(510) 784-3694</t>
  </si>
  <si>
    <t>CUST1129</t>
  </si>
  <si>
    <t>Ali Ahmed</t>
  </si>
  <si>
    <t>ali.ahmed5@gmail.com</t>
  </si>
  <si>
    <t>+17578299618</t>
  </si>
  <si>
    <t>10/02/2020</t>
  </si>
  <si>
    <t>CUST1130</t>
  </si>
  <si>
    <t>Ivan Costa</t>
  </si>
  <si>
    <t>ivan.costa38@company.co</t>
  </si>
  <si>
    <t>(775) 880-2175</t>
  </si>
  <si>
    <t>CUST1131</t>
  </si>
  <si>
    <t>elena.singh49@outlook.com</t>
  </si>
  <si>
    <t>+17752585220</t>
  </si>
  <si>
    <t>2023-03-10</t>
  </si>
  <si>
    <t>CUST1132</t>
  </si>
  <si>
    <t>noah.lopez16@gmail.com</t>
  </si>
  <si>
    <t>+15363361355</t>
  </si>
  <si>
    <t>2020-06-06</t>
  </si>
  <si>
    <t>CUST1133</t>
  </si>
  <si>
    <t>emma.malik92@outlook.com</t>
  </si>
  <si>
    <t>815.761.5376</t>
  </si>
  <si>
    <t>2020-12-27</t>
  </si>
  <si>
    <t>CUST1134</t>
  </si>
  <si>
    <t>2021-08-05</t>
  </si>
  <si>
    <t>CUST1135</t>
  </si>
  <si>
    <t>leo.fernandez12@company.co</t>
  </si>
  <si>
    <t>+19206319853</t>
  </si>
  <si>
    <t>15-Oct-2023</t>
  </si>
  <si>
    <t>CUST1136</t>
  </si>
  <si>
    <t>Emma Patel</t>
  </si>
  <si>
    <t>emma.patel33@outlook.com</t>
  </si>
  <si>
    <t>(371) 980-5754</t>
  </si>
  <si>
    <t>2019-05-08</t>
  </si>
  <si>
    <t>CUST1137</t>
  </si>
  <si>
    <t>Kabir Smith</t>
  </si>
  <si>
    <t>539-709-6724</t>
  </si>
  <si>
    <t>CUST1138</t>
  </si>
  <si>
    <t>2021-09-23</t>
  </si>
  <si>
    <t>CUST1139</t>
  </si>
  <si>
    <t>Omar Singh</t>
  </si>
  <si>
    <t>omar.singh80@yahoo.com</t>
  </si>
  <si>
    <t>+17883707513</t>
  </si>
  <si>
    <t>2023-08-17</t>
  </si>
  <si>
    <t>CUST1140</t>
  </si>
  <si>
    <t>noah.novak49@company.co</t>
  </si>
  <si>
    <t>948.700.4860</t>
  </si>
  <si>
    <t>CUST1141</t>
  </si>
  <si>
    <t>Mary Lopez</t>
  </si>
  <si>
    <t>mary.lopez38@company.co</t>
  </si>
  <si>
    <t>+18299373838</t>
  </si>
  <si>
    <t>CUST1142</t>
  </si>
  <si>
    <t>Elena Jones</t>
  </si>
  <si>
    <t>elena.jones91@yahoo.com</t>
  </si>
  <si>
    <t>+17026642914</t>
  </si>
  <si>
    <t>2023-12-22</t>
  </si>
  <si>
    <t>CUST1143</t>
  </si>
  <si>
    <t>priya.smith85@company.co</t>
  </si>
  <si>
    <t>282.398.3324</t>
  </si>
  <si>
    <t>2020-05-30</t>
  </si>
  <si>
    <t>CUST1144</t>
  </si>
  <si>
    <t>nadia.patel55@company.co</t>
  </si>
  <si>
    <t>849-977-4909</t>
  </si>
  <si>
    <t>2021-04-30</t>
  </si>
  <si>
    <t>CUST1145</t>
  </si>
  <si>
    <t>anya.patel16@yahoo.com</t>
  </si>
  <si>
    <t>(908) 592-6210</t>
  </si>
  <si>
    <t>CUST1146</t>
  </si>
  <si>
    <t>yusuf.patel71@yahoo.com</t>
  </si>
  <si>
    <t>817-908-9328</t>
  </si>
  <si>
    <t>CUST1147</t>
  </si>
  <si>
    <t>Nadia Costa</t>
  </si>
  <si>
    <t>nadia.costa92@outlook.com</t>
  </si>
  <si>
    <t>2019-08-16</t>
  </si>
  <si>
    <t>CUST1148</t>
  </si>
  <si>
    <t>Mary Fernandez</t>
  </si>
  <si>
    <t>mary.fernandez15 at yahoo.com</t>
  </si>
  <si>
    <t>2023-10-13</t>
  </si>
  <si>
    <t>CUST1149</t>
  </si>
  <si>
    <t>emma.smith11@outlook.com</t>
  </si>
  <si>
    <t>(973) 639-8995</t>
  </si>
  <si>
    <t>07-Feb-2023</t>
  </si>
  <si>
    <t>CUST1150</t>
  </si>
  <si>
    <t>John Singh</t>
  </si>
  <si>
    <t>john.singh3@outlook.com</t>
  </si>
  <si>
    <t>(803) 819-2242</t>
  </si>
  <si>
    <t>2023-11-18</t>
  </si>
  <si>
    <t>CUST1151</t>
  </si>
  <si>
    <t>Leo Patel</t>
  </si>
  <si>
    <t>leo.patel74@company.co</t>
  </si>
  <si>
    <t>(970) 787-6197</t>
  </si>
  <si>
    <t>CUST1152</t>
  </si>
  <si>
    <t>Nadia Malik</t>
  </si>
  <si>
    <t>nadia.malik70 at yahoo.com</t>
  </si>
  <si>
    <t>2021-06-19</t>
  </si>
  <si>
    <t>CUST1154</t>
  </si>
  <si>
    <t>Layla Patel</t>
  </si>
  <si>
    <t>22-Jun-2019</t>
  </si>
  <si>
    <t>CUST1155</t>
  </si>
  <si>
    <t>noah.patel44@gmail.com</t>
  </si>
  <si>
    <t>572-728-8049</t>
  </si>
  <si>
    <t>2019-04-21</t>
  </si>
  <si>
    <t>CUST1156</t>
  </si>
  <si>
    <t>fatima.lopez85@company.co</t>
  </si>
  <si>
    <t>(697) 930-9093</t>
  </si>
  <si>
    <t>2020-08-27</t>
  </si>
  <si>
    <t>CUST1157</t>
  </si>
  <si>
    <t>noah.novak27@gmail.com</t>
  </si>
  <si>
    <t>385-523-2285</t>
  </si>
  <si>
    <t>2020-02-15</t>
  </si>
  <si>
    <t>CUST1158</t>
  </si>
  <si>
    <t>Kabir Lopez</t>
  </si>
  <si>
    <t>CUST1159</t>
  </si>
  <si>
    <t>Mira Fernandez</t>
  </si>
  <si>
    <t>mira.fernandez90@outlook.com</t>
  </si>
  <si>
    <t>+16629132856</t>
  </si>
  <si>
    <t>25-Jan-2021</t>
  </si>
  <si>
    <t>CUST1160</t>
  </si>
  <si>
    <t>layla.jones39@gmail.com</t>
  </si>
  <si>
    <t>CUST1161</t>
  </si>
  <si>
    <t>Ali Smith</t>
  </si>
  <si>
    <t>ali.smith7 at outlook.com</t>
  </si>
  <si>
    <t>+15998406929</t>
  </si>
  <si>
    <t>CUST1162</t>
  </si>
  <si>
    <t>kabir.lopez91@gmail.com</t>
  </si>
  <si>
    <t>(524) 392-7986</t>
  </si>
  <si>
    <t>2024-02-01</t>
  </si>
  <si>
    <t>CUST1163</t>
  </si>
  <si>
    <t>Elena Fernandez</t>
  </si>
  <si>
    <t>elena.fernandez98@outlook.com</t>
  </si>
  <si>
    <t>790-890-7127</t>
  </si>
  <si>
    <t>2019-08-08</t>
  </si>
  <si>
    <t>CUST1164</t>
  </si>
  <si>
    <t>Priya Malik</t>
  </si>
  <si>
    <t>priya.malik88@outlook.com</t>
  </si>
  <si>
    <t>516.597.9591</t>
  </si>
  <si>
    <t>2019-05-04</t>
  </si>
  <si>
    <t>CUST1165</t>
  </si>
  <si>
    <t>257-721-3084</t>
  </si>
  <si>
    <t>2020-07-12</t>
  </si>
  <si>
    <t>CUST1166</t>
  </si>
  <si>
    <t>Fatima Singh</t>
  </si>
  <si>
    <t>fatima.singh2@yahoo.com</t>
  </si>
  <si>
    <t>523.415.8790</t>
  </si>
  <si>
    <t>2020-02-11</t>
  </si>
  <si>
    <t>CUST1167</t>
  </si>
  <si>
    <t>rohan.malik84@company.co</t>
  </si>
  <si>
    <t>827.654.2511</t>
  </si>
  <si>
    <t>15-May-2021</t>
  </si>
  <si>
    <t>CUST1168</t>
  </si>
  <si>
    <t>Noah Malik</t>
  </si>
  <si>
    <t>noah.malik76@yahoo.com</t>
  </si>
  <si>
    <t>2019-02-06</t>
  </si>
  <si>
    <t>CUST1169</t>
  </si>
  <si>
    <t>Ali Jones</t>
  </si>
  <si>
    <t>ali.jones2@yahoo.com</t>
  </si>
  <si>
    <t>(203) 663-4560</t>
  </si>
  <si>
    <t>2021-08-26</t>
  </si>
  <si>
    <t>CUST1170</t>
  </si>
  <si>
    <t>Mira Novak</t>
  </si>
  <si>
    <t>mira.novak11@company.co</t>
  </si>
  <si>
    <t>692.668.6924</t>
  </si>
  <si>
    <t>2023-01-07</t>
  </si>
  <si>
    <t>CUST1171</t>
  </si>
  <si>
    <t>Yusuf Fernandez</t>
  </si>
  <si>
    <t>yusuf.fernandez10@outlook.com</t>
  </si>
  <si>
    <t>294.370.1281</t>
  </si>
  <si>
    <t>CUST1172</t>
  </si>
  <si>
    <t>rohan.singh48@yahoo.com</t>
  </si>
  <si>
    <t>622-938-3355</t>
  </si>
  <si>
    <t>2023-01-26</t>
  </si>
  <si>
    <t>CUST1173</t>
  </si>
  <si>
    <t>Anya Costa</t>
  </si>
  <si>
    <t>anya.costa83@yahoo.com</t>
  </si>
  <si>
    <t>(451) 696-7569</t>
  </si>
  <si>
    <t>11-Nov-2019</t>
  </si>
  <si>
    <t>CUST1174</t>
  </si>
  <si>
    <t>Ali Novak</t>
  </si>
  <si>
    <t>ali.novak25@gmail.com</t>
  </si>
  <si>
    <t>+14337563775</t>
  </si>
  <si>
    <t>2021-09-30</t>
  </si>
  <si>
    <t>CUST1175</t>
  </si>
  <si>
    <t>elena.singh45@outlook.com</t>
  </si>
  <si>
    <t>+17944541658</t>
  </si>
  <si>
    <t>2024-08-05</t>
  </si>
  <si>
    <t>CUST1176</t>
  </si>
  <si>
    <t>Leo Costa</t>
  </si>
  <si>
    <t>leo.costa16@gmail.com</t>
  </si>
  <si>
    <t>+15376686188</t>
  </si>
  <si>
    <t>CUST1177</t>
  </si>
  <si>
    <t>Rohan Novak</t>
  </si>
  <si>
    <t>rohan.novak12@outlook.com</t>
  </si>
  <si>
    <t>+14881906081</t>
  </si>
  <si>
    <t>2022-05-12</t>
  </si>
  <si>
    <t>CUST1178</t>
  </si>
  <si>
    <t>leo.novak89@company.co</t>
  </si>
  <si>
    <t>27-Jun-2023</t>
  </si>
  <si>
    <t>CUST1179</t>
  </si>
  <si>
    <t>Kabir Fernandez</t>
  </si>
  <si>
    <t>kabir.fernandez42@yahoo.com</t>
  </si>
  <si>
    <t>+15418155569</t>
  </si>
  <si>
    <t>CUST1180</t>
  </si>
  <si>
    <t>mary.lopez91@outlook.com</t>
  </si>
  <si>
    <t>625-684-7480</t>
  </si>
  <si>
    <t>2021-11-20</t>
  </si>
  <si>
    <t>CUST1181</t>
  </si>
  <si>
    <t>kabir.singh56@gmail.com</t>
  </si>
  <si>
    <t>869-360-5470</t>
  </si>
  <si>
    <t>2022-11-21</t>
  </si>
  <si>
    <t>CUST1182</t>
  </si>
  <si>
    <t>leo.costa67@company.co</t>
  </si>
  <si>
    <t>755.353.1567</t>
  </si>
  <si>
    <t>2022-09-17</t>
  </si>
  <si>
    <t>CUST1183</t>
  </si>
  <si>
    <t>Sara Smith</t>
  </si>
  <si>
    <t>sara.smith43@yahoo.com</t>
  </si>
  <si>
    <t>(480) 789-4516</t>
  </si>
  <si>
    <t>2019-04-18</t>
  </si>
  <si>
    <t>CUST1184</t>
  </si>
  <si>
    <t>priya.smith41@outlook.com</t>
  </si>
  <si>
    <t>365.992.6507</t>
  </si>
  <si>
    <t>2022-12-06</t>
  </si>
  <si>
    <t>CUST1185</t>
  </si>
  <si>
    <t>Yusuf Smith</t>
  </si>
  <si>
    <t>yusuf.smith78@yahoo.com</t>
  </si>
  <si>
    <t>+15385878376</t>
  </si>
  <si>
    <t>2021-01-16</t>
  </si>
  <si>
    <t>CUST1186</t>
  </si>
  <si>
    <t>Yusuf Lopez</t>
  </si>
  <si>
    <t>yusuf.lopez40@outlook.com</t>
  </si>
  <si>
    <t>2022-08-11</t>
  </si>
  <si>
    <t>CUST1187</t>
  </si>
  <si>
    <t>kabir.fernandez90@outlook.com</t>
  </si>
  <si>
    <t>654-529-8732</t>
  </si>
  <si>
    <t>2019-12-10</t>
  </si>
  <si>
    <t>CUST1188</t>
  </si>
  <si>
    <t>Priya Patel</t>
  </si>
  <si>
    <t>priya.patel76@company.co</t>
  </si>
  <si>
    <t>640-365-6549</t>
  </si>
  <si>
    <t>2021-05-30</t>
  </si>
  <si>
    <t>CUST1189</t>
  </si>
  <si>
    <t>Yusuf Ahmed</t>
  </si>
  <si>
    <t>yusuf.ahmed92@yahoo.com</t>
  </si>
  <si>
    <t>554-401-6612</t>
  </si>
  <si>
    <t>2023-10-07</t>
  </si>
  <si>
    <t>CUST1190</t>
  </si>
  <si>
    <t>Elena Costa</t>
  </si>
  <si>
    <t>elena.costa46@company.co</t>
  </si>
  <si>
    <t>01-Nov-2023</t>
  </si>
  <si>
    <t>CUST1191</t>
  </si>
  <si>
    <t>2020-10-30</t>
  </si>
  <si>
    <t>CUST1192</t>
  </si>
  <si>
    <t>rohan.novak2@company.co</t>
  </si>
  <si>
    <t>18-Jul-2021</t>
  </si>
  <si>
    <t>CUST1193</t>
  </si>
  <si>
    <t>Priya Jones</t>
  </si>
  <si>
    <t>priya.jones50@yahoo.com</t>
  </si>
  <si>
    <t>459-591-1877</t>
  </si>
  <si>
    <t>2022-10-31</t>
  </si>
  <si>
    <t>CUST1194</t>
  </si>
  <si>
    <t>kabir.singh75@outlook.com</t>
  </si>
  <si>
    <t>767.791.1614</t>
  </si>
  <si>
    <t>2021-01-04</t>
  </si>
  <si>
    <t>CUST1195</t>
  </si>
  <si>
    <t>layla.jones83@gmail.com</t>
  </si>
  <si>
    <t>843-625-2388</t>
  </si>
  <si>
    <t>07-Oct-2019</t>
  </si>
  <si>
    <t>CUST1196</t>
  </si>
  <si>
    <t>Rohan Smith</t>
  </si>
  <si>
    <t>rohan.smith39@outlook.com</t>
  </si>
  <si>
    <t>+14988537307</t>
  </si>
  <si>
    <t>10-Jul-2023</t>
  </si>
  <si>
    <t>CUST1197</t>
  </si>
  <si>
    <t>Ivan Fernandez</t>
  </si>
  <si>
    <t>ivan.fernandez59@yahoo.com</t>
  </si>
  <si>
    <t>493.245.4287</t>
  </si>
  <si>
    <t>CUST1198</t>
  </si>
  <si>
    <t>noah.ahmed51@company.co</t>
  </si>
  <si>
    <t>426.213.6581</t>
  </si>
  <si>
    <t>2019-10-18</t>
  </si>
  <si>
    <t>CUST1199</t>
  </si>
  <si>
    <t>rohan.patel42@outlook.com</t>
  </si>
  <si>
    <t>963-302-2811</t>
  </si>
  <si>
    <t>CUST1200</t>
  </si>
  <si>
    <t>elena.singh81@yahoo.com</t>
  </si>
  <si>
    <t>(910) 563-3563</t>
  </si>
  <si>
    <t>CUST1201</t>
  </si>
  <si>
    <t>Alex Patel</t>
  </si>
  <si>
    <t>alex.patel20@gmail.com</t>
  </si>
  <si>
    <t>797-587-2862</t>
  </si>
  <si>
    <t>2019-02-11</t>
  </si>
  <si>
    <t>CUST1202</t>
  </si>
  <si>
    <t>noah.ahmed53 at gmail.com</t>
  </si>
  <si>
    <t>514-634-4710</t>
  </si>
  <si>
    <t>CUST1203</t>
  </si>
  <si>
    <t>rohan.patel16@gmail.com</t>
  </si>
  <si>
    <t>379.839.5807</t>
  </si>
  <si>
    <t>2022-08-24</t>
  </si>
  <si>
    <t>CUST1204</t>
  </si>
  <si>
    <t>Fatima Malik</t>
  </si>
  <si>
    <t>fatima.malik79 at company.co</t>
  </si>
  <si>
    <t>28-Apr-2022</t>
  </si>
  <si>
    <t>CUST1205</t>
  </si>
  <si>
    <t>ali.patel78@gmail.com</t>
  </si>
  <si>
    <t>2023-06-01</t>
  </si>
  <si>
    <t>CUST1206</t>
  </si>
  <si>
    <t>anya.fernandez7@company.co</t>
  </si>
  <si>
    <t>(239) 500-7345</t>
  </si>
  <si>
    <t>2023-02-26</t>
  </si>
  <si>
    <t>CUST1207</t>
  </si>
  <si>
    <t>Anya Lopez</t>
  </si>
  <si>
    <t>anya.lopez86@company.co</t>
  </si>
  <si>
    <t>272.732.1372</t>
  </si>
  <si>
    <t>CUST1208</t>
  </si>
  <si>
    <t>John Fernandez</t>
  </si>
  <si>
    <t>john.fernandez32@gmail.com</t>
  </si>
  <si>
    <t>986.721.8673</t>
  </si>
  <si>
    <t>CUST1209</t>
  </si>
  <si>
    <t>Nadia Jones</t>
  </si>
  <si>
    <t>(405) 312-4440</t>
  </si>
  <si>
    <t>2024-04-02</t>
  </si>
  <si>
    <t>CUST1210</t>
  </si>
  <si>
    <t>CUST1211</t>
  </si>
  <si>
    <t>Sara Lopez</t>
  </si>
  <si>
    <t>sara.lopez73@gmail.com</t>
  </si>
  <si>
    <t>2021-08-22</t>
  </si>
  <si>
    <t>CUST1212</t>
  </si>
  <si>
    <t>alex.malik93@outlook.com</t>
  </si>
  <si>
    <t>+15891709458</t>
  </si>
  <si>
    <t>2023-07-08</t>
  </si>
  <si>
    <t>CUST1213</t>
  </si>
  <si>
    <t>yusuf.patel15@outlook.com</t>
  </si>
  <si>
    <t>398.952.2104</t>
  </si>
  <si>
    <t>2023-08-15</t>
  </si>
  <si>
    <t>CUST1214</t>
  </si>
  <si>
    <t>anya.novak60@gmail.com</t>
  </si>
  <si>
    <t>2024-05-04</t>
  </si>
  <si>
    <t>CUST1215</t>
  </si>
  <si>
    <t>Ali Singh</t>
  </si>
  <si>
    <t>ali.singh92@company.co</t>
  </si>
  <si>
    <t>+16720502352</t>
  </si>
  <si>
    <t>2020-02-20</t>
  </si>
  <si>
    <t>CUST1216</t>
  </si>
  <si>
    <t>anya.fernandez14@company.co</t>
  </si>
  <si>
    <t>490-224-1234</t>
  </si>
  <si>
    <t>02-Jun-2023</t>
  </si>
  <si>
    <t>CUST1217</t>
  </si>
  <si>
    <t>elena.smith61@yahoo.com</t>
  </si>
  <si>
    <t>CUST1218</t>
  </si>
  <si>
    <t>Mira Singh</t>
  </si>
  <si>
    <t>mira.singh81@yahoo.com</t>
  </si>
  <si>
    <t>562-413-4611</t>
  </si>
  <si>
    <t>2020-11-17</t>
  </si>
  <si>
    <t>CUST1219</t>
  </si>
  <si>
    <t>Mary Malik</t>
  </si>
  <si>
    <t>mary.malik11@company.co</t>
  </si>
  <si>
    <t>(518) 437-9899</t>
  </si>
  <si>
    <t>CUST1220</t>
  </si>
  <si>
    <t>elena.ahmed50@gmail.com</t>
  </si>
  <si>
    <t>843-808-8888</t>
  </si>
  <si>
    <t>CUST1221</t>
  </si>
  <si>
    <t>fatima.ahmed7@yahoo.com</t>
  </si>
  <si>
    <t>27-Feb-2023</t>
  </si>
  <si>
    <t>CUST1222</t>
  </si>
  <si>
    <t>layla.lopez69@company.co</t>
  </si>
  <si>
    <t>CUST1223</t>
  </si>
  <si>
    <t>emma.jones82@outlook.com</t>
  </si>
  <si>
    <t>507.598.7729</t>
  </si>
  <si>
    <t>18-Mar-2023</t>
  </si>
  <si>
    <t>CUST1224</t>
  </si>
  <si>
    <t>Priya Fernandez</t>
  </si>
  <si>
    <t>priya.fernandez14@company.co</t>
  </si>
  <si>
    <t>+16015787045</t>
  </si>
  <si>
    <t>2019-06-27</t>
  </si>
  <si>
    <t>CUST1225</t>
  </si>
  <si>
    <t>elena.singh77@yahoo.com</t>
  </si>
  <si>
    <t>+14005777718</t>
  </si>
  <si>
    <t>CUST1227</t>
  </si>
  <si>
    <t>Fatima Jones</t>
  </si>
  <si>
    <t>fatima.jones57@company.co</t>
  </si>
  <si>
    <t>314.756.5418</t>
  </si>
  <si>
    <t>2022-08-02</t>
  </si>
  <si>
    <t>CUST1228</t>
  </si>
  <si>
    <t>alex.ahmed59@yahoo.com</t>
  </si>
  <si>
    <t>(967) 805-7450</t>
  </si>
  <si>
    <t>06/09/2022</t>
  </si>
  <si>
    <t>CUST1230</t>
  </si>
  <si>
    <t>noah.singh91@company.co</t>
  </si>
  <si>
    <t>+19801351043</t>
  </si>
  <si>
    <t>2020-12-13</t>
  </si>
  <si>
    <t>CUST1231</t>
  </si>
  <si>
    <t>alex.fernandez74@outlook.com</t>
  </si>
  <si>
    <t>2019-01-04</t>
  </si>
  <si>
    <t>CUST1232</t>
  </si>
  <si>
    <t>layla.lopez75@yahoo.com</t>
  </si>
  <si>
    <t>(897) 695-1452</t>
  </si>
  <si>
    <t>2021-11-13</t>
  </si>
  <si>
    <t>CUST1233</t>
  </si>
  <si>
    <t>yusuf.malik99@gmail.com</t>
  </si>
  <si>
    <t>594.792.3473</t>
  </si>
  <si>
    <t>2019-11-18</t>
  </si>
  <si>
    <t>CUST1234</t>
  </si>
  <si>
    <t>kabir.ahmed72@yahoo.com</t>
  </si>
  <si>
    <t>2020-04-10</t>
  </si>
  <si>
    <t>CUST1237</t>
  </si>
  <si>
    <t>noah.singh30@gmail.com</t>
  </si>
  <si>
    <t>+16073307079</t>
  </si>
  <si>
    <t>2022-10-09</t>
  </si>
  <si>
    <t>CUST1238</t>
  </si>
  <si>
    <t>leo.fernandez34@yahoo.com</t>
  </si>
  <si>
    <t>+13036069545</t>
  </si>
  <si>
    <t>2020-04-03</t>
  </si>
  <si>
    <t>CUST1239</t>
  </si>
  <si>
    <t>rohan.singh82@gmail.com</t>
  </si>
  <si>
    <t>(303) 737-7451</t>
  </si>
  <si>
    <t>2024-05-01</t>
  </si>
  <si>
    <t>CUST1240</t>
  </si>
  <si>
    <t>+14391515559</t>
  </si>
  <si>
    <t>CUST1241</t>
  </si>
  <si>
    <t>noah.novak78 at yahoo.com</t>
  </si>
  <si>
    <t>810.757.3760</t>
  </si>
  <si>
    <t>2020-03-08</t>
  </si>
  <si>
    <t>CUST1242</t>
  </si>
  <si>
    <t>Leo Singh</t>
  </si>
  <si>
    <t>leo.singh76@gmail.com</t>
  </si>
  <si>
    <t>CUST1243</t>
  </si>
  <si>
    <t>Layla Singh</t>
  </si>
  <si>
    <t>layla.singh37@outlook.com</t>
  </si>
  <si>
    <t>2020-05-27</t>
  </si>
  <si>
    <t>CUST1244</t>
  </si>
  <si>
    <t>Emma Ahmed</t>
  </si>
  <si>
    <t>emma.ahmed47@company.co</t>
  </si>
  <si>
    <t>(976) 724-1991</t>
  </si>
  <si>
    <t>2020-05-06</t>
  </si>
  <si>
    <t>CUST1245</t>
  </si>
  <si>
    <t>Ivan Ahmed</t>
  </si>
  <si>
    <t>ivan.ahmed53@outlook.com</t>
  </si>
  <si>
    <t>(524) 415-9061</t>
  </si>
  <si>
    <t>17-Aug-2022</t>
  </si>
  <si>
    <t>CUST1246</t>
  </si>
  <si>
    <t>Noah Smith</t>
  </si>
  <si>
    <t>noah.smith99@gmail.com</t>
  </si>
  <si>
    <t>929-547-2814</t>
  </si>
  <si>
    <t>CUST1247</t>
  </si>
  <si>
    <t>ali.novak18@company.co</t>
  </si>
  <si>
    <t>311-316-2924</t>
  </si>
  <si>
    <t>2024-05-03</t>
  </si>
  <si>
    <t>CUST1248</t>
  </si>
  <si>
    <t>ivan.ahmed57@yahoo.com</t>
  </si>
  <si>
    <t>531-955-8638</t>
  </si>
  <si>
    <t>2019-12-21</t>
  </si>
  <si>
    <t>CUST1249</t>
  </si>
  <si>
    <t>omar.costa35@outlook.com</t>
  </si>
  <si>
    <t>(608) 345-5002</t>
  </si>
  <si>
    <t>CUST1250</t>
  </si>
  <si>
    <t>Alex Smith</t>
  </si>
  <si>
    <t>alex.smith18@gmail.com</t>
  </si>
  <si>
    <t>+16836312774</t>
  </si>
  <si>
    <t>2022-11-07</t>
  </si>
  <si>
    <t>CUST1251</t>
  </si>
  <si>
    <t>Fatima Smith</t>
  </si>
  <si>
    <t>fatima.smith93@outlook.com</t>
  </si>
  <si>
    <t>833.431.4874</t>
  </si>
  <si>
    <t>2024-01-20</t>
  </si>
  <si>
    <t>CUST1252</t>
  </si>
  <si>
    <t>Mira Malik</t>
  </si>
  <si>
    <t>mira.malik76@outlook.com</t>
  </si>
  <si>
    <t>667.969.4161</t>
  </si>
  <si>
    <t>2021-01-02</t>
  </si>
  <si>
    <t>CUST1253</t>
  </si>
  <si>
    <t>ali.novak68@company.co</t>
  </si>
  <si>
    <t>762.584.4533</t>
  </si>
  <si>
    <t>2023-12-25</t>
  </si>
  <si>
    <t>CUST1254</t>
  </si>
  <si>
    <t>emma.patel14@outlook.com</t>
  </si>
  <si>
    <t>+19505084667</t>
  </si>
  <si>
    <t>2022-07-09</t>
  </si>
  <si>
    <t>CUST1255</t>
  </si>
  <si>
    <t>Elena Malik</t>
  </si>
  <si>
    <t>elena.malik58@gmail.com</t>
  </si>
  <si>
    <t>658-419-4555</t>
  </si>
  <si>
    <t>10-Apr-2024</t>
  </si>
  <si>
    <t>CUST1256</t>
  </si>
  <si>
    <t>omar.malik79@company.co</t>
  </si>
  <si>
    <t>2020-12-24</t>
  </si>
  <si>
    <t>CUST1257</t>
  </si>
  <si>
    <t>yusuf.lopez95@gmail.com</t>
  </si>
  <si>
    <t>+12284189170</t>
  </si>
  <si>
    <t>CUST1258</t>
  </si>
  <si>
    <t>elena.fernandez94@gmail.com</t>
  </si>
  <si>
    <t>(449) 506-5962</t>
  </si>
  <si>
    <t>CUST1259</t>
  </si>
  <si>
    <t>ivan.novak72 at outlook.com</t>
  </si>
  <si>
    <t>459-522-5397</t>
  </si>
  <si>
    <t>2021-04-10</t>
  </si>
  <si>
    <t>CUST1260</t>
  </si>
  <si>
    <t>leo.malik14@gmail.com</t>
  </si>
  <si>
    <t>23-Jan-2019</t>
  </si>
  <si>
    <t>CUST1261</t>
  </si>
  <si>
    <t>Layla Novak</t>
  </si>
  <si>
    <t>layla.novak48@company.co</t>
  </si>
  <si>
    <t>06-Jul-2023</t>
  </si>
  <si>
    <t>CUST1262</t>
  </si>
  <si>
    <t>emma.patel23@yahoo.com</t>
  </si>
  <si>
    <t>843.461.4713</t>
  </si>
  <si>
    <t>CUST1263</t>
  </si>
  <si>
    <t>Emma Novak</t>
  </si>
  <si>
    <t>emma.novak84@gmail.com</t>
  </si>
  <si>
    <t>216-441-1978</t>
  </si>
  <si>
    <t>2019-03-04</t>
  </si>
  <si>
    <t>CUST1264</t>
  </si>
  <si>
    <t>noah.lopez24@yahoo.com</t>
  </si>
  <si>
    <t>(759) 909-1198</t>
  </si>
  <si>
    <t>19-Nov-2019</t>
  </si>
  <si>
    <t>CUST1265</t>
  </si>
  <si>
    <t>Emma Fernandez</t>
  </si>
  <si>
    <t>emma.fernandez87@yahoo.com</t>
  </si>
  <si>
    <t>+13749569796</t>
  </si>
  <si>
    <t>CUST1266</t>
  </si>
  <si>
    <t>omar.singh77@outlook.com</t>
  </si>
  <si>
    <t>558.840.5717</t>
  </si>
  <si>
    <t>CUST1267</t>
  </si>
  <si>
    <t>kabir.jones93@yahoo.com</t>
  </si>
  <si>
    <t>783-594-4494</t>
  </si>
  <si>
    <t>2022-02-02</t>
  </si>
  <si>
    <t>CUST1268</t>
  </si>
  <si>
    <t>fatima.lopez38@yahoo.com</t>
  </si>
  <si>
    <t>+17017043629</t>
  </si>
  <si>
    <t>2022-08-20</t>
  </si>
  <si>
    <t>CUST1269</t>
  </si>
  <si>
    <t>Fatima Costa</t>
  </si>
  <si>
    <t>fatima.costa13@company.co</t>
  </si>
  <si>
    <t>+13954893827</t>
  </si>
  <si>
    <t>18-Aug-2022</t>
  </si>
  <si>
    <t>CUST1270</t>
  </si>
  <si>
    <t>fatima.ahmed27@gmail.com</t>
  </si>
  <si>
    <t>(692) 385-2344</t>
  </si>
  <si>
    <t>26-Mar-2022</t>
  </si>
  <si>
    <t>CUST1271</t>
  </si>
  <si>
    <t>Layla Ahmed</t>
  </si>
  <si>
    <t>layla.ahmed11@yahoo.com</t>
  </si>
  <si>
    <t>(374) 615-9159</t>
  </si>
  <si>
    <t>CUST1272</t>
  </si>
  <si>
    <t>yusuf.patel7@company.co</t>
  </si>
  <si>
    <t>2022-10-24</t>
  </si>
  <si>
    <t>CUST1273</t>
  </si>
  <si>
    <t>emma.smith89@outlook.com</t>
  </si>
  <si>
    <t>(834) 840-6038</t>
  </si>
  <si>
    <t>18-Jun-2021</t>
  </si>
  <si>
    <t>CUST1274</t>
  </si>
  <si>
    <t>Mira Smith</t>
  </si>
  <si>
    <t>2020-04-18</t>
  </si>
  <si>
    <t>CUST1275</t>
  </si>
  <si>
    <t>mira.singh7@yahoo.com</t>
  </si>
  <si>
    <t>+16730179678</t>
  </si>
  <si>
    <t>16-May-2019</t>
  </si>
  <si>
    <t>CUST1276</t>
  </si>
  <si>
    <t>alex.ahmed57@company.co</t>
  </si>
  <si>
    <t>(805) 702-6118</t>
  </si>
  <si>
    <t>2023-06-28</t>
  </si>
  <si>
    <t>CUST1277</t>
  </si>
  <si>
    <t>Leo Smith</t>
  </si>
  <si>
    <t>leo.smith75@gmail.com</t>
  </si>
  <si>
    <t>2021-06-18</t>
  </si>
  <si>
    <t>CUST1278</t>
  </si>
  <si>
    <t>Omar Jones</t>
  </si>
  <si>
    <t>579.274.2987</t>
  </si>
  <si>
    <t>15-Jun-2021</t>
  </si>
  <si>
    <t>CUST1279</t>
  </si>
  <si>
    <t>Alex Lopez</t>
  </si>
  <si>
    <t>alex.lopez64@gmail.com</t>
  </si>
  <si>
    <t>+16344475122</t>
  </si>
  <si>
    <t>2019-07-05</t>
  </si>
  <si>
    <t>CUST1280</t>
  </si>
  <si>
    <t>john.patel28 at outlook.com</t>
  </si>
  <si>
    <t>(287) 937-9969</t>
  </si>
  <si>
    <t>CUST1281</t>
  </si>
  <si>
    <t>kabir.novak28@gmail.com</t>
  </si>
  <si>
    <t>(887) 690-3610</t>
  </si>
  <si>
    <t>2021-10-28</t>
  </si>
  <si>
    <t>CUST1282</t>
  </si>
  <si>
    <t>Yusuf Novak</t>
  </si>
  <si>
    <t>yusuf.novak73@gmail.com</t>
  </si>
  <si>
    <t>+12136832621</t>
  </si>
  <si>
    <t>CUST1283</t>
  </si>
  <si>
    <t>mira.fernandez23@yahoo.com</t>
  </si>
  <si>
    <t>785-669-2656</t>
  </si>
  <si>
    <t>2020-02-09</t>
  </si>
  <si>
    <t>CUST1284</t>
  </si>
  <si>
    <t>emma.lopez29@company.co</t>
  </si>
  <si>
    <t>2019-12-20</t>
  </si>
  <si>
    <t>CUST1285</t>
  </si>
  <si>
    <t>john.patel58@yahoo.com</t>
  </si>
  <si>
    <t>+17857307771</t>
  </si>
  <si>
    <t>02-Sep-2022</t>
  </si>
  <si>
    <t>CUST1286</t>
  </si>
  <si>
    <t>+13093623825</t>
  </si>
  <si>
    <t>2021-11-27</t>
  </si>
  <si>
    <t>CUST1287</t>
  </si>
  <si>
    <t>leo.jones63@yahoo.com</t>
  </si>
  <si>
    <t>(814) 247-1009</t>
  </si>
  <si>
    <t>CUST1288</t>
  </si>
  <si>
    <t>kabir.jones3@yahoo.com</t>
  </si>
  <si>
    <t>614-973-1290</t>
  </si>
  <si>
    <t>CUST1289</t>
  </si>
  <si>
    <t>nadia.costa26@outlook.com</t>
  </si>
  <si>
    <t>CUST1290</t>
  </si>
  <si>
    <t>Ivan Smith</t>
  </si>
  <si>
    <t>ivan.smith91@gmail.com</t>
  </si>
  <si>
    <t>(717) 528-3464</t>
  </si>
  <si>
    <t>2019-09-19</t>
  </si>
  <si>
    <t>CUST1291</t>
  </si>
  <si>
    <t>sara.ahmed88@outlook.com</t>
  </si>
  <si>
    <t>+16046463906</t>
  </si>
  <si>
    <t>10/03/2023</t>
  </si>
  <si>
    <t>CUST1292</t>
  </si>
  <si>
    <t>emma.smith96@yahoo.com</t>
  </si>
  <si>
    <t>389-376-1671</t>
  </si>
  <si>
    <t>CUST1293</t>
  </si>
  <si>
    <t>mary.fernandez24@yahoo.com</t>
  </si>
  <si>
    <t>980.811.2341</t>
  </si>
  <si>
    <t>2023-03-19</t>
  </si>
  <si>
    <t>CUST1294</t>
  </si>
  <si>
    <t>noah.novak51@outlook.com</t>
  </si>
  <si>
    <t>(466) 588-7078</t>
  </si>
  <si>
    <t>2022-11-13</t>
  </si>
  <si>
    <t>CUST1295</t>
  </si>
  <si>
    <t>john.malik13@gmail.com</t>
  </si>
  <si>
    <t>+17487113834</t>
  </si>
  <si>
    <t>2020-10-11</t>
  </si>
  <si>
    <t>CUST1296</t>
  </si>
  <si>
    <t>Layla Malik</t>
  </si>
  <si>
    <t>layla.malik23@outlook.com</t>
  </si>
  <si>
    <t>755-511-7246</t>
  </si>
  <si>
    <t>2021-07-21</t>
  </si>
  <si>
    <t>CUST1297</t>
  </si>
  <si>
    <t>Mary Ahmed</t>
  </si>
  <si>
    <t>mary.ahmed50 at company.co</t>
  </si>
  <si>
    <t>267-929-9038</t>
  </si>
  <si>
    <t>03/06/2021</t>
  </si>
  <si>
    <t>CUST1298</t>
  </si>
  <si>
    <t>ivan.lopez61@yahoo.com</t>
  </si>
  <si>
    <t>(606) 732-7493</t>
  </si>
  <si>
    <t>27-Aug-2019</t>
  </si>
  <si>
    <t>CUST1299</t>
  </si>
  <si>
    <t>priya.ahmed12@outlook.com</t>
  </si>
  <si>
    <t>618.212.2885</t>
  </si>
  <si>
    <t>CUST1300</t>
  </si>
  <si>
    <t>Ivan Malik</t>
  </si>
  <si>
    <t>ivan.malik12@outlook.com</t>
  </si>
  <si>
    <t>(884) 990-8327</t>
  </si>
  <si>
    <t>2022-11-20</t>
  </si>
  <si>
    <t>CUST1301</t>
  </si>
  <si>
    <t>John Lopez</t>
  </si>
  <si>
    <t>john.lopez32@company.co</t>
  </si>
  <si>
    <t>352.694.2544</t>
  </si>
  <si>
    <t>2020-09-14</t>
  </si>
  <si>
    <t>CUST1302</t>
  </si>
  <si>
    <t>omar.jones42@company.co</t>
  </si>
  <si>
    <t>243-644-7797</t>
  </si>
  <si>
    <t>19-Oct-2022</t>
  </si>
  <si>
    <t>CUST1303</t>
  </si>
  <si>
    <t>Sara Singh</t>
  </si>
  <si>
    <t>sara.singh3@yahoo.com</t>
  </si>
  <si>
    <t>201-211-7169</t>
  </si>
  <si>
    <t>2022-03-26</t>
  </si>
  <si>
    <t>CUST1305</t>
  </si>
  <si>
    <t>yusuf.malik11@outlook.com</t>
  </si>
  <si>
    <t>692-576-9176</t>
  </si>
  <si>
    <t>01/03/2024</t>
  </si>
  <si>
    <t>CUST1307</t>
  </si>
  <si>
    <t>anya.fernandez3@gmail.com</t>
  </si>
  <si>
    <t>941.892.4058</t>
  </si>
  <si>
    <t>CUST1308</t>
  </si>
  <si>
    <t>elena.jones4@company.co</t>
  </si>
  <si>
    <t>+16663553735</t>
  </si>
  <si>
    <t>2021-02-21</t>
  </si>
  <si>
    <t>CUST1309</t>
  </si>
  <si>
    <t>priya.novak65@outlook.com</t>
  </si>
  <si>
    <t>+17129696550</t>
  </si>
  <si>
    <t>13-Aug-2021</t>
  </si>
  <si>
    <t>CUST1310</t>
  </si>
  <si>
    <t>leo.jones72@gmail.com</t>
  </si>
  <si>
    <t>(636) 551-1979</t>
  </si>
  <si>
    <t>CUST1311</t>
  </si>
  <si>
    <t>emma.ahmed28@gmail.com</t>
  </si>
  <si>
    <t>04/08/2019</t>
  </si>
  <si>
    <t>CUST1312</t>
  </si>
  <si>
    <t>Ali Lopez</t>
  </si>
  <si>
    <t>ali.lopez75@outlook.com</t>
  </si>
  <si>
    <t>(636) 417-7955</t>
  </si>
  <si>
    <t>09/08/2022</t>
  </si>
  <si>
    <t>CUST1313</t>
  </si>
  <si>
    <t>nadia.smith93@gmail.com</t>
  </si>
  <si>
    <t>(649) 893-5803</t>
  </si>
  <si>
    <t>CUST1314</t>
  </si>
  <si>
    <t>emma.malik11@company.co</t>
  </si>
  <si>
    <t>(899) 907-7263</t>
  </si>
  <si>
    <t>19-Oct-2023</t>
  </si>
  <si>
    <t>CUST1316</t>
  </si>
  <si>
    <t>Ivan Jones</t>
  </si>
  <si>
    <t>ivan.jones64@company.co</t>
  </si>
  <si>
    <t>299.769.1555</t>
  </si>
  <si>
    <t>02-Mar-2023</t>
  </si>
  <si>
    <t>CUST1317</t>
  </si>
  <si>
    <t>ali.fernandez47@gmail.com</t>
  </si>
  <si>
    <t>(441) 247-8669</t>
  </si>
  <si>
    <t>2021-11-22</t>
  </si>
  <si>
    <t>CUST1318</t>
  </si>
  <si>
    <t>kabir.patel63@company.co</t>
  </si>
  <si>
    <t>(631) 776-4381</t>
  </si>
  <si>
    <t>CUST1319</t>
  </si>
  <si>
    <t>anya.ahmed12@gmail.com</t>
  </si>
  <si>
    <t>CUST1320</t>
  </si>
  <si>
    <t>anya.ahmed55@gmail.com</t>
  </si>
  <si>
    <t>459.854.3152</t>
  </si>
  <si>
    <t>CUST1321</t>
  </si>
  <si>
    <t>yusuf.malik97@yahoo.com</t>
  </si>
  <si>
    <t>(753) 480-2579</t>
  </si>
  <si>
    <t>CUST1322</t>
  </si>
  <si>
    <t>ali.fernandez53@gmail.com</t>
  </si>
  <si>
    <t>2022-07-31</t>
  </si>
  <si>
    <t>CUST1323</t>
  </si>
  <si>
    <t>(525) 622-5696</t>
  </si>
  <si>
    <t>2021-10-31</t>
  </si>
  <si>
    <t>CUST1324</t>
  </si>
  <si>
    <t>Nadia Ahmed</t>
  </si>
  <si>
    <t>nadia.ahmed2@outlook.com</t>
  </si>
  <si>
    <t>201-669-3016</t>
  </si>
  <si>
    <t>2020-01-08</t>
  </si>
  <si>
    <t>CUST1325</t>
  </si>
  <si>
    <t>mary.costa46@gmail.com</t>
  </si>
  <si>
    <t>807.439.1240</t>
  </si>
  <si>
    <t>2024-08-01</t>
  </si>
  <si>
    <t>CUST1326</t>
  </si>
  <si>
    <t>mira.lopez3@gmail.com</t>
  </si>
  <si>
    <t>+18747991954</t>
  </si>
  <si>
    <t>14-Aug-2019</t>
  </si>
  <si>
    <t>CUST1327</t>
  </si>
  <si>
    <t>john.lopez30@gmail.com</t>
  </si>
  <si>
    <t>612.607.2490</t>
  </si>
  <si>
    <t>29-Oct-2020</t>
  </si>
  <si>
    <t>CUST1328</t>
  </si>
  <si>
    <t>sara.patel91@outlook.com</t>
  </si>
  <si>
    <t>+19983217479</t>
  </si>
  <si>
    <t>CUST1329</t>
  </si>
  <si>
    <t>noah.lopez89@yahoo.com</t>
  </si>
  <si>
    <t>415.303.5111</t>
  </si>
  <si>
    <t>06-Apr-2019</t>
  </si>
  <si>
    <t>CUST1330</t>
  </si>
  <si>
    <t>john.jones11@company.co</t>
  </si>
  <si>
    <t>+16309019724</t>
  </si>
  <si>
    <t>2022-07-17</t>
  </si>
  <si>
    <t>CUST1331</t>
  </si>
  <si>
    <t>484-668-1844</t>
  </si>
  <si>
    <t>2020-02-26</t>
  </si>
  <si>
    <t>CUST1332</t>
  </si>
  <si>
    <t>mary.patel52@yahoo.com</t>
  </si>
  <si>
    <t>354-561-9635</t>
  </si>
  <si>
    <t>CUST1333</t>
  </si>
  <si>
    <t>john.singh15@yahoo.com</t>
  </si>
  <si>
    <t>+15378743195</t>
  </si>
  <si>
    <t>2023-10-23</t>
  </si>
  <si>
    <t>CUST1334</t>
  </si>
  <si>
    <t>John Ahmed</t>
  </si>
  <si>
    <t>john.ahmed75@yahoo.com</t>
  </si>
  <si>
    <t>22-Aug-2022</t>
  </si>
  <si>
    <t>CUST1335</t>
  </si>
  <si>
    <t>Mary Jones</t>
  </si>
  <si>
    <t>810.822.8538</t>
  </si>
  <si>
    <t>CUST1336</t>
  </si>
  <si>
    <t>alex.fernandez92@gmail.com</t>
  </si>
  <si>
    <t>778-452-6938</t>
  </si>
  <si>
    <t>2021-11-10</t>
  </si>
  <si>
    <t>CUST1337</t>
  </si>
  <si>
    <t>ali.patel87@gmail.com</t>
  </si>
  <si>
    <t>2019-10-21</t>
  </si>
  <si>
    <t>CUST1338</t>
  </si>
  <si>
    <t>338-897-2103</t>
  </si>
  <si>
    <t>03-Feb-2019</t>
  </si>
  <si>
    <t>CUST1340</t>
  </si>
  <si>
    <t>ali.lopez96@company.co</t>
  </si>
  <si>
    <t>+12954831402</t>
  </si>
  <si>
    <t>2019-03-20</t>
  </si>
  <si>
    <t>CUST1341</t>
  </si>
  <si>
    <t>elena.costa87@yahoo.com</t>
  </si>
  <si>
    <t>748.763.4853</t>
  </si>
  <si>
    <t>2019-04-27</t>
  </si>
  <si>
    <t>CUST1342</t>
  </si>
  <si>
    <t>Nadia Singh</t>
  </si>
  <si>
    <t>28-Nov-2023</t>
  </si>
  <si>
    <t>CUST1343</t>
  </si>
  <si>
    <t>leo.jones56@gmail.com</t>
  </si>
  <si>
    <t>(598) 459-9165</t>
  </si>
  <si>
    <t>CUST1344</t>
  </si>
  <si>
    <t>nadia.ahmed35@gmail.com</t>
  </si>
  <si>
    <t>(686) 986-4940</t>
  </si>
  <si>
    <t>CUST1345</t>
  </si>
  <si>
    <t>emma.novak31@gmail.com</t>
  </si>
  <si>
    <t>(951) 581-8517</t>
  </si>
  <si>
    <t>CUST1346</t>
  </si>
  <si>
    <t>737.774.2724</t>
  </si>
  <si>
    <t>2020-02-23</t>
  </si>
  <si>
    <t>CUST1347</t>
  </si>
  <si>
    <t>Nadia Lopez</t>
  </si>
  <si>
    <t>nadia.lopez14@company.co</t>
  </si>
  <si>
    <t>710-581-9782</t>
  </si>
  <si>
    <t>10-Apr-2023</t>
  </si>
  <si>
    <t>CUST1348</t>
  </si>
  <si>
    <t>ivan.jones87@outlook.com</t>
  </si>
  <si>
    <t>+19500518158</t>
  </si>
  <si>
    <t>2022-03-24</t>
  </si>
  <si>
    <t>CUST1349</t>
  </si>
  <si>
    <t>omar.malik19@yahoo.com</t>
  </si>
  <si>
    <t>(246) 641-2262</t>
  </si>
  <si>
    <t>05-Apr-2021</t>
  </si>
  <si>
    <t>CUST1350</t>
  </si>
  <si>
    <t>Noah Jones</t>
  </si>
  <si>
    <t>noah.jones64@company.co</t>
  </si>
  <si>
    <t>26-Aug-2023</t>
  </si>
  <si>
    <t>CUST1351</t>
  </si>
  <si>
    <t>kabir.patel1@gmail.com</t>
  </si>
  <si>
    <t>+16726746996</t>
  </si>
  <si>
    <t>21-Jun-2024</t>
  </si>
  <si>
    <t>CUST1352</t>
  </si>
  <si>
    <t>layla.malik78@yahoo.com</t>
  </si>
  <si>
    <t>202.889.1879</t>
  </si>
  <si>
    <t>CUST1353</t>
  </si>
  <si>
    <t>elena.malik78@yahoo.com</t>
  </si>
  <si>
    <t>744-982-9500</t>
  </si>
  <si>
    <t>CUST1354</t>
  </si>
  <si>
    <t>john.costa33@gmail.com</t>
  </si>
  <si>
    <t>09-Apr-2023</t>
  </si>
  <si>
    <t>CUST1355</t>
  </si>
  <si>
    <t>fatima.malik26@gmail.com</t>
  </si>
  <si>
    <t>CUST1356</t>
  </si>
  <si>
    <t>Ivan Singh</t>
  </si>
  <si>
    <t>ivan.singh33@company.co</t>
  </si>
  <si>
    <t>238-725-5322</t>
  </si>
  <si>
    <t>CUST1357</t>
  </si>
  <si>
    <t>fatima.ahmed21@company.co</t>
  </si>
  <si>
    <t>717-393-6489</t>
  </si>
  <si>
    <t>CUST1358</t>
  </si>
  <si>
    <t>yusuf.singh7@yahoo.com</t>
  </si>
  <si>
    <t>234-414-3326</t>
  </si>
  <si>
    <t>2022-06-13</t>
  </si>
  <si>
    <t>CUST1359</t>
  </si>
  <si>
    <t>yusuf.smith63 at company.co</t>
  </si>
  <si>
    <t>712-366-9570</t>
  </si>
  <si>
    <t>2024-06-07</t>
  </si>
  <si>
    <t>CUST1360</t>
  </si>
  <si>
    <t>rohan.ahmed33@yahoo.com</t>
  </si>
  <si>
    <t>+16441859295</t>
  </si>
  <si>
    <t>CUST1361</t>
  </si>
  <si>
    <t>mary.malik24@gmail.com</t>
  </si>
  <si>
    <t>2020-07-05</t>
  </si>
  <si>
    <t>CUST1362</t>
  </si>
  <si>
    <t>yusuf.lopez35@company.co</t>
  </si>
  <si>
    <t>15-Nov-2020</t>
  </si>
  <si>
    <t>CUST1363</t>
  </si>
  <si>
    <t>fatima.singh62@company.co</t>
  </si>
  <si>
    <t>10-Jun-2020</t>
  </si>
  <si>
    <t>CUST1364</t>
  </si>
  <si>
    <t>priya.patel97@outlook.com</t>
  </si>
  <si>
    <t>711.560.6437</t>
  </si>
  <si>
    <t>CUST1365</t>
  </si>
  <si>
    <t>Anya Jones</t>
  </si>
  <si>
    <t>anya.jones16@yahoo.com</t>
  </si>
  <si>
    <t>(747) 453-1226</t>
  </si>
  <si>
    <t>2019-03-17</t>
  </si>
  <si>
    <t>CUST1366</t>
  </si>
  <si>
    <t>priya.novak14 at outlook.com</t>
  </si>
  <si>
    <t>641.432.5388</t>
  </si>
  <si>
    <t>14-Feb-2020</t>
  </si>
  <si>
    <t>CUST1367</t>
  </si>
  <si>
    <t>Elena Lopez</t>
  </si>
  <si>
    <t>elena.lopez22@company.co</t>
  </si>
  <si>
    <t>+12469222104</t>
  </si>
  <si>
    <t>2019-08-15</t>
  </si>
  <si>
    <t>CUST1368</t>
  </si>
  <si>
    <t>rohan.lopez82@gmail.com</t>
  </si>
  <si>
    <t>2020-09-02</t>
  </si>
  <si>
    <t>CUST1369</t>
  </si>
  <si>
    <t>(773) 287-4500</t>
  </si>
  <si>
    <t>25-Jul-2023</t>
  </si>
  <si>
    <t>CUST1370</t>
  </si>
  <si>
    <t>sara.smith6@company.co</t>
  </si>
  <si>
    <t>(224) 401-7011</t>
  </si>
  <si>
    <t>CUST1371</t>
  </si>
  <si>
    <t>ivan.malik26@company.co</t>
  </si>
  <si>
    <t>(611) 374-9282</t>
  </si>
  <si>
    <t>CUST1372</t>
  </si>
  <si>
    <t>anya.jones70@company.co</t>
  </si>
  <si>
    <t>706.979.8383</t>
  </si>
  <si>
    <t>2024-09-02</t>
  </si>
  <si>
    <t>CUST1373</t>
  </si>
  <si>
    <t>emma.novak76@company.co</t>
  </si>
  <si>
    <t>2021-07-09</t>
  </si>
  <si>
    <t>CUST1374</t>
  </si>
  <si>
    <t>elena.lopez78@company.co</t>
  </si>
  <si>
    <t>+12005430129</t>
  </si>
  <si>
    <t>CUST1375</t>
  </si>
  <si>
    <t>ali.patel45 at gmail.com</t>
  </si>
  <si>
    <t>(381) 904-8816</t>
  </si>
  <si>
    <t>CUST1376</t>
  </si>
  <si>
    <t>yusuf.jones83@outlook.com</t>
  </si>
  <si>
    <t>+16094605444</t>
  </si>
  <si>
    <t>2022-06-02</t>
  </si>
  <si>
    <t>CUST1378</t>
  </si>
  <si>
    <t>ivan.jones80@outlook.com</t>
  </si>
  <si>
    <t>774-670-9588</t>
  </si>
  <si>
    <t>27-Dec-2020</t>
  </si>
  <si>
    <t>CUST1379</t>
  </si>
  <si>
    <t>anya.smith99@outlook.com</t>
  </si>
  <si>
    <t>394-515-7184</t>
  </si>
  <si>
    <t>22-Apr-2020</t>
  </si>
  <si>
    <t>CUST1380</t>
  </si>
  <si>
    <t>john.lopez77@gmail.com</t>
  </si>
  <si>
    <t>(203) 899-3870</t>
  </si>
  <si>
    <t>CUST1381</t>
  </si>
  <si>
    <t>priya.ahmed10@gmail.com</t>
  </si>
  <si>
    <t>(715) 571-8901</t>
  </si>
  <si>
    <t>2019-11-27</t>
  </si>
  <si>
    <t>CUST1382</t>
  </si>
  <si>
    <t>Mary Smith</t>
  </si>
  <si>
    <t>mary.smith27@company.co</t>
  </si>
  <si>
    <t>591-208-8159</t>
  </si>
  <si>
    <t>2019-12-17</t>
  </si>
  <si>
    <t>CUST1383</t>
  </si>
  <si>
    <t>Rohan Costa</t>
  </si>
  <si>
    <t>rohan.costa24@company.co</t>
  </si>
  <si>
    <t>897.949.8070</t>
  </si>
  <si>
    <t>2024-04-06</t>
  </si>
  <si>
    <t>CUST1384</t>
  </si>
  <si>
    <t>priya.ahmed17@gmail.com</t>
  </si>
  <si>
    <t>(604) 623-6904</t>
  </si>
  <si>
    <t>2019-03-31</t>
  </si>
  <si>
    <t>CUST1385</t>
  </si>
  <si>
    <t>john.lopez17@company.co</t>
  </si>
  <si>
    <t>CUST1386</t>
  </si>
  <si>
    <t>alex.malik89@outlook.com</t>
  </si>
  <si>
    <t>753.482.2999</t>
  </si>
  <si>
    <t>2024-05-30</t>
  </si>
  <si>
    <t>CUST1387</t>
  </si>
  <si>
    <t>nadia.malik84 at outlook.com</t>
  </si>
  <si>
    <t>(969) 650-4027</t>
  </si>
  <si>
    <t>2023-08-09</t>
  </si>
  <si>
    <t>CUST1388</t>
  </si>
  <si>
    <t>john.singh62@gmail.com</t>
  </si>
  <si>
    <t>979-461-5554</t>
  </si>
  <si>
    <t>2020-07-04</t>
  </si>
  <si>
    <t>CUST1389</t>
  </si>
  <si>
    <t>Sara Fernandez</t>
  </si>
  <si>
    <t>sara.fernandez86@outlook.com</t>
  </si>
  <si>
    <t>+19730310735</t>
  </si>
  <si>
    <t>CUST1390</t>
  </si>
  <si>
    <t>john.jones96@yahoo.com</t>
  </si>
  <si>
    <t>229.435.1866</t>
  </si>
  <si>
    <t>2022-02-14</t>
  </si>
  <si>
    <t>CUST1391</t>
  </si>
  <si>
    <t>emma.singh39@outlook.com</t>
  </si>
  <si>
    <t>(479) 224-1957</t>
  </si>
  <si>
    <t>CUST1392</t>
  </si>
  <si>
    <t>emma.patel68@yahoo.com</t>
  </si>
  <si>
    <t>CUST1393</t>
  </si>
  <si>
    <t>(672) 804-8151</t>
  </si>
  <si>
    <t>2022-11-17</t>
  </si>
  <si>
    <t>CUST1394</t>
  </si>
  <si>
    <t>358.999.7099</t>
  </si>
  <si>
    <t>2021-08-30</t>
  </si>
  <si>
    <t>CUST1395</t>
  </si>
  <si>
    <t>774-709-9986</t>
  </si>
  <si>
    <t>CUST1396</t>
  </si>
  <si>
    <t>layla.singh3@company.co</t>
  </si>
  <si>
    <t>CUST1397</t>
  </si>
  <si>
    <t>fatima.jones64@outlook.com</t>
  </si>
  <si>
    <t>+15293663727</t>
  </si>
  <si>
    <t>CUST1398</t>
  </si>
  <si>
    <t>leo.jones94@yahoo.com</t>
  </si>
  <si>
    <t>840-520-6480</t>
  </si>
  <si>
    <t>2022-04-03</t>
  </si>
  <si>
    <t>CUST1399</t>
  </si>
  <si>
    <t>omar.patel51@company.co</t>
  </si>
  <si>
    <t>595.443.9614</t>
  </si>
  <si>
    <t>20-Apr-2020</t>
  </si>
  <si>
    <t>CUST1400</t>
  </si>
  <si>
    <t>anya.novak18@gmail.com</t>
  </si>
  <si>
    <t>+18750224766</t>
  </si>
  <si>
    <t>2023-07-24</t>
  </si>
  <si>
    <t>CUST1401</t>
  </si>
  <si>
    <t>fatima.malik30@outlook.com</t>
  </si>
  <si>
    <t>+13565487224</t>
  </si>
  <si>
    <t>2021-01-26</t>
  </si>
  <si>
    <t>CUST1402</t>
  </si>
  <si>
    <t>priya.novak1@company.co</t>
  </si>
  <si>
    <t>655.334.8236</t>
  </si>
  <si>
    <t>2022-12-30</t>
  </si>
  <si>
    <t>CUST1403</t>
  </si>
  <si>
    <t>ivan.patel8@company.co</t>
  </si>
  <si>
    <t>2023-04-03</t>
  </si>
  <si>
    <t>CUST1404</t>
  </si>
  <si>
    <t>Layla Costa</t>
  </si>
  <si>
    <t>layla.costa98@company.co</t>
  </si>
  <si>
    <t>07-Jul-2020</t>
  </si>
  <si>
    <t>CUST1405</t>
  </si>
  <si>
    <t>ivan.lopez92@yahoo.com</t>
  </si>
  <si>
    <t>201-734-1353</t>
  </si>
  <si>
    <t>2020-08-12</t>
  </si>
  <si>
    <t>CUST1406</t>
  </si>
  <si>
    <t>leo.jones23@outlook.com</t>
  </si>
  <si>
    <t>2023-03-16</t>
  </si>
  <si>
    <t>CUST1407</t>
  </si>
  <si>
    <t>662-932-8954</t>
  </si>
  <si>
    <t>2020-07-08</t>
  </si>
  <si>
    <t>CUST1408</t>
  </si>
  <si>
    <t>nadia.singh77@outlook.com</t>
  </si>
  <si>
    <t>2021-05-10</t>
  </si>
  <si>
    <t>CUST1409</t>
  </si>
  <si>
    <t>anya.smith71@company.co</t>
  </si>
  <si>
    <t>2020-09-07</t>
  </si>
  <si>
    <t>CUST1410</t>
  </si>
  <si>
    <t>yusuf.novak77@outlook.com</t>
  </si>
  <si>
    <t>957-372-7149</t>
  </si>
  <si>
    <t>2019-01-13</t>
  </si>
  <si>
    <t>CUST1411</t>
  </si>
  <si>
    <t>mira.malik27@company.co</t>
  </si>
  <si>
    <t>938.473.8281</t>
  </si>
  <si>
    <t>2022-07-06</t>
  </si>
  <si>
    <t>CUST1412</t>
  </si>
  <si>
    <t>omar.jones52@outlook.com</t>
  </si>
  <si>
    <t>+16173885442</t>
  </si>
  <si>
    <t>2020-08-23</t>
  </si>
  <si>
    <t>CUST1414</t>
  </si>
  <si>
    <t>leo.ahmed7@yahoo.com</t>
  </si>
  <si>
    <t>(614) 529-6421</t>
  </si>
  <si>
    <t>2020-05-14</t>
  </si>
  <si>
    <t>CUST1415</t>
  </si>
  <si>
    <t>anya.costa53@outlook.com</t>
  </si>
  <si>
    <t>+15427480276</t>
  </si>
  <si>
    <t>2022-09-02</t>
  </si>
  <si>
    <t>CUST1416</t>
  </si>
  <si>
    <t>noah.ahmed2@gmail.com</t>
  </si>
  <si>
    <t>(868) 236-5031</t>
  </si>
  <si>
    <t>CUST1417</t>
  </si>
  <si>
    <t>noah.ahmed65@outlook.com</t>
  </si>
  <si>
    <t>(377) 558-1627</t>
  </si>
  <si>
    <t>2022-05-11</t>
  </si>
  <si>
    <t>CUST1418</t>
  </si>
  <si>
    <t>noah.novak30@outlook.com</t>
  </si>
  <si>
    <t>(424) 254-5224</t>
  </si>
  <si>
    <t>2019-01-16</t>
  </si>
  <si>
    <t>CUST1419</t>
  </si>
  <si>
    <t>john.jones2@outlook.com</t>
  </si>
  <si>
    <t>+14081415164</t>
  </si>
  <si>
    <t>CUST1420</t>
  </si>
  <si>
    <t>john.fernandez13@yahoo.com</t>
  </si>
  <si>
    <t>+17071200698</t>
  </si>
  <si>
    <t>2023-06-08</t>
  </si>
  <si>
    <t>CUST1421</t>
  </si>
  <si>
    <t>priya.costa52@yahoo.com</t>
  </si>
  <si>
    <t>2019-07-02</t>
  </si>
  <si>
    <t>CUST1422</t>
  </si>
  <si>
    <t>fatima.costa32@gmail.com</t>
  </si>
  <si>
    <t>(987) 388-2161</t>
  </si>
  <si>
    <t>2021-10-07</t>
  </si>
  <si>
    <t>CUST1423</t>
  </si>
  <si>
    <t>kabir.patel53@outlook.com</t>
  </si>
  <si>
    <t>(524) 577-7012</t>
  </si>
  <si>
    <t>2024-03-02</t>
  </si>
  <si>
    <t>CUST1424</t>
  </si>
  <si>
    <t>kabir.ahmed59@gmail.com</t>
  </si>
  <si>
    <t>720-409-7027</t>
  </si>
  <si>
    <t>CUST1425</t>
  </si>
  <si>
    <t>rohan.novak53@outlook.com</t>
  </si>
  <si>
    <t>(239) 829-3663</t>
  </si>
  <si>
    <t>CUST1426</t>
  </si>
  <si>
    <t>elena.singh96@outlook.com</t>
  </si>
  <si>
    <t>(430) 489-1476</t>
  </si>
  <si>
    <t>2021-02-09</t>
  </si>
  <si>
    <t>CUST1427</t>
  </si>
  <si>
    <t>elena.singh3@outlook.com</t>
  </si>
  <si>
    <t>+13079837681</t>
  </si>
  <si>
    <t>2019-06-09</t>
  </si>
  <si>
    <t>CUST1428</t>
  </si>
  <si>
    <t>Rohan Jones</t>
  </si>
  <si>
    <t>rohan.jones53@yahoo.com</t>
  </si>
  <si>
    <t>(211) 584-2588</t>
  </si>
  <si>
    <t>2022-07-02</t>
  </si>
  <si>
    <t>CUST1429</t>
  </si>
  <si>
    <t>nadia.singh10@company.co</t>
  </si>
  <si>
    <t>(595) 961-3808</t>
  </si>
  <si>
    <t>24-Jan-2020</t>
  </si>
  <si>
    <t>CUST1430</t>
  </si>
  <si>
    <t>john.malik75@company.co</t>
  </si>
  <si>
    <t>+12497707780</t>
  </si>
  <si>
    <t>09-Jun-2024</t>
  </si>
  <si>
    <t>CUST1431</t>
  </si>
  <si>
    <t>anya.patel46@gmail.com</t>
  </si>
  <si>
    <t>09-Feb-2022</t>
  </si>
  <si>
    <t>CUST1432</t>
  </si>
  <si>
    <t>john.lopez74@outlook.com</t>
  </si>
  <si>
    <t>(842) 495-3267</t>
  </si>
  <si>
    <t>CUST1433</t>
  </si>
  <si>
    <t>alex.jones96@yahoo.com</t>
  </si>
  <si>
    <t>386.481.5047</t>
  </si>
  <si>
    <t>2019-03-18</t>
  </si>
  <si>
    <t>CUST1434</t>
  </si>
  <si>
    <t>ali.ahmed6@company.co</t>
  </si>
  <si>
    <t>(913) 673-6737</t>
  </si>
  <si>
    <t>2023-09-24</t>
  </si>
  <si>
    <t>CUST1435</t>
  </si>
  <si>
    <t>ivan.costa65@company.co</t>
  </si>
  <si>
    <t>(323) 889-2776</t>
  </si>
  <si>
    <t>CUST1436</t>
  </si>
  <si>
    <t>ivan.costa58@yahoo.com</t>
  </si>
  <si>
    <t>+13686015419</t>
  </si>
  <si>
    <t>2023-08-24</t>
  </si>
  <si>
    <t>CUST1437</t>
  </si>
  <si>
    <t>+18270972705</t>
  </si>
  <si>
    <t>CUST1438</t>
  </si>
  <si>
    <t>john.ahmed29@outlook.com</t>
  </si>
  <si>
    <t>(700) 735-3560</t>
  </si>
  <si>
    <t>2020-10-27</t>
  </si>
  <si>
    <t>CUST1439</t>
  </si>
  <si>
    <t>mary.patel6@outlook.com</t>
  </si>
  <si>
    <t>(499) 817-3738</t>
  </si>
  <si>
    <t>2019-04-16</t>
  </si>
  <si>
    <t>CUST1440</t>
  </si>
  <si>
    <t>ivan.jones89@gmail.com</t>
  </si>
  <si>
    <t>2021-01-28</t>
  </si>
  <si>
    <t>CUST1441</t>
  </si>
  <si>
    <t>rohan.malik70@yahoo.com</t>
  </si>
  <si>
    <t>325.738.6210</t>
  </si>
  <si>
    <t>CUST1442</t>
  </si>
  <si>
    <t>fatima.jones53 at gmail.com</t>
  </si>
  <si>
    <t>+12156924742</t>
  </si>
  <si>
    <t>2024-02-29</t>
  </si>
  <si>
    <t>CUST1443</t>
  </si>
  <si>
    <t>+12826080791</t>
  </si>
  <si>
    <t>2021-01-23</t>
  </si>
  <si>
    <t>CUST1444</t>
  </si>
  <si>
    <t>noah.lopez13@yahoo.com</t>
  </si>
  <si>
    <t>+19229913244</t>
  </si>
  <si>
    <t>2022-11-23</t>
  </si>
  <si>
    <t>CUST1445</t>
  </si>
  <si>
    <t>noah.ahmed14@gmail.com</t>
  </si>
  <si>
    <t>451.625.6361</t>
  </si>
  <si>
    <t>2019-10-13</t>
  </si>
  <si>
    <t>CUST1446</t>
  </si>
  <si>
    <t>805-874-2748</t>
  </si>
  <si>
    <t>2020-08-09</t>
  </si>
  <si>
    <t>CUST1447</t>
  </si>
  <si>
    <t>Kabir Costa</t>
  </si>
  <si>
    <t>+16098167200</t>
  </si>
  <si>
    <t>2022-03-07</t>
  </si>
  <si>
    <t>CUST1448</t>
  </si>
  <si>
    <t>leo.novak30@outlook.com</t>
  </si>
  <si>
    <t>2019-08-20</t>
  </si>
  <si>
    <t>CUST1449</t>
  </si>
  <si>
    <t>priya.malik10@gmail.com</t>
  </si>
  <si>
    <t>321-975-8010</t>
  </si>
  <si>
    <t>2019-09-16</t>
  </si>
  <si>
    <t>CUST1450</t>
  </si>
  <si>
    <t>sara.singh58@company.co</t>
  </si>
  <si>
    <t>670-779-9980</t>
  </si>
  <si>
    <t>2022-04-02</t>
  </si>
  <si>
    <t>CUST1451</t>
  </si>
  <si>
    <t>alex.smith55@yahoo.com</t>
  </si>
  <si>
    <t>+19560673808</t>
  </si>
  <si>
    <t>14-Aug-2023</t>
  </si>
  <si>
    <t>CUST1452</t>
  </si>
  <si>
    <t>rohan.lopez51@company.co</t>
  </si>
  <si>
    <t>492.300.6584</t>
  </si>
  <si>
    <t>2022-08-14</t>
  </si>
  <si>
    <t>CUST1453</t>
  </si>
  <si>
    <t>priya.patel70@gmail.com</t>
  </si>
  <si>
    <t>620.249.7212</t>
  </si>
  <si>
    <t>CUST1454</t>
  </si>
  <si>
    <t>Fatima Fernandez</t>
  </si>
  <si>
    <t>fatima.fernandez43@outlook.com</t>
  </si>
  <si>
    <t>+16228179755</t>
  </si>
  <si>
    <t>08-Apr-2023</t>
  </si>
  <si>
    <t>CUST1455</t>
  </si>
  <si>
    <t>sara.fernandez34@company.co</t>
  </si>
  <si>
    <t>CUST1456</t>
  </si>
  <si>
    <t>john.smith68@gmail.com</t>
  </si>
  <si>
    <t>CUST1457</t>
  </si>
  <si>
    <t>leo.lopez76@outlook.com</t>
  </si>
  <si>
    <t>986-954-9844</t>
  </si>
  <si>
    <t>2021-04-24</t>
  </si>
  <si>
    <t>CUST1458</t>
  </si>
  <si>
    <t>mary.lopez46@yahoo.com</t>
  </si>
  <si>
    <t>868-407-1590</t>
  </si>
  <si>
    <t>2019-03-25</t>
  </si>
  <si>
    <t>CUST1459</t>
  </si>
  <si>
    <t>elena.lopez88@outlook.com</t>
  </si>
  <si>
    <t>813-260-9524</t>
  </si>
  <si>
    <t>27-Feb-2020</t>
  </si>
  <si>
    <t>CUST1460</t>
  </si>
  <si>
    <t>anya.jones68@outlook.com</t>
  </si>
  <si>
    <t>(227) 907-1733</t>
  </si>
  <si>
    <t>CUST1462</t>
  </si>
  <si>
    <t>rohan.novak56@outlook.com</t>
  </si>
  <si>
    <t>367.680.5923</t>
  </si>
  <si>
    <t>2023-07-12</t>
  </si>
  <si>
    <t>CUST1463</t>
  </si>
  <si>
    <t>anya.smith81@gmail.com</t>
  </si>
  <si>
    <t>11/08/2020</t>
  </si>
  <si>
    <t>CUST1464</t>
  </si>
  <si>
    <t>ivan.singh71@yahoo.com</t>
  </si>
  <si>
    <t>CUST1465</t>
  </si>
  <si>
    <t>mary.jones17@company.co</t>
  </si>
  <si>
    <t>+13569528322</t>
  </si>
  <si>
    <t>CUST1466</t>
  </si>
  <si>
    <t>fatima.singh65@yahoo.com</t>
  </si>
  <si>
    <t>(995) 811-4479</t>
  </si>
  <si>
    <t>2022-10-01</t>
  </si>
  <si>
    <t>CUST1467</t>
  </si>
  <si>
    <t>yusuf.lopez61@gmail.com</t>
  </si>
  <si>
    <t>631.465.8832</t>
  </si>
  <si>
    <t>27-Jul-2019</t>
  </si>
  <si>
    <t>CUST1468</t>
  </si>
  <si>
    <t>leo.smith81@gmail.com</t>
  </si>
  <si>
    <t>+12549484148</t>
  </si>
  <si>
    <t>2021-02-12</t>
  </si>
  <si>
    <t>CUST1469</t>
  </si>
  <si>
    <t>Nadia Fernandez</t>
  </si>
  <si>
    <t>nadia.fernandez83@yahoo.com</t>
  </si>
  <si>
    <t>925-718-9704</t>
  </si>
  <si>
    <t>CUST1470</t>
  </si>
  <si>
    <t>omar.costa17@company.co</t>
  </si>
  <si>
    <t>04-Jul-2020</t>
  </si>
  <si>
    <t>CUST1471</t>
  </si>
  <si>
    <t>fatima.fernandez41@outlook.com</t>
  </si>
  <si>
    <t>2021-03-31</t>
  </si>
  <si>
    <t>CUST1472</t>
  </si>
  <si>
    <t>alex.lopez89@yahoo.com</t>
  </si>
  <si>
    <t>+13564929672</t>
  </si>
  <si>
    <t>CUST1473</t>
  </si>
  <si>
    <t>omar.jones27@gmail.com</t>
  </si>
  <si>
    <t>+15287435218</t>
  </si>
  <si>
    <t>2021-10-23</t>
  </si>
  <si>
    <t>CUST1474</t>
  </si>
  <si>
    <t>ali.patel37@company.co</t>
  </si>
  <si>
    <t>920-613-7006</t>
  </si>
  <si>
    <t>CUST1475</t>
  </si>
  <si>
    <t>layla.novak27@gmail.com</t>
  </si>
  <si>
    <t>438.739.6307</t>
  </si>
  <si>
    <t>2020-07-20</t>
  </si>
  <si>
    <t>CUST1476</t>
  </si>
  <si>
    <t>mary.malik86@outlook.com</t>
  </si>
  <si>
    <t>(973) 854-8064</t>
  </si>
  <si>
    <t>27-Mar-2022</t>
  </si>
  <si>
    <t>CUST1477</t>
  </si>
  <si>
    <t>elena.lopez28@outlook.com</t>
  </si>
  <si>
    <t>2022-02-23</t>
  </si>
  <si>
    <t>CUST1479</t>
  </si>
  <si>
    <t>layla.costa92@yahoo.com</t>
  </si>
  <si>
    <t>+18598881511</t>
  </si>
  <si>
    <t>2019-02-16</t>
  </si>
  <si>
    <t>CUST1480</t>
  </si>
  <si>
    <t>sara.lopez27@gmail.com</t>
  </si>
  <si>
    <t>(883) 598-5843</t>
  </si>
  <si>
    <t>2019-11-30</t>
  </si>
  <si>
    <t>CUST1481</t>
  </si>
  <si>
    <t>leo.smith51@outlook.com</t>
  </si>
  <si>
    <t>956-874-7675</t>
  </si>
  <si>
    <t>2023-03-23</t>
  </si>
  <si>
    <t>CUST1482</t>
  </si>
  <si>
    <t>noah.lopez35@yahoo.com</t>
  </si>
  <si>
    <t>+12819815838</t>
  </si>
  <si>
    <t>CUST1484</t>
  </si>
  <si>
    <t>leo.malik34@gmail.com</t>
  </si>
  <si>
    <t>2021-04-20</t>
  </si>
  <si>
    <t>CUST1485</t>
  </si>
  <si>
    <t>layla.novak31@yahoo.com</t>
  </si>
  <si>
    <t>20-May-2024</t>
  </si>
  <si>
    <t>CUST1486</t>
  </si>
  <si>
    <t>john.fernandez61@company.co</t>
  </si>
  <si>
    <t>857-721-5658</t>
  </si>
  <si>
    <t>CUST1487</t>
  </si>
  <si>
    <t>elena.fernandez39@gmail.com</t>
  </si>
  <si>
    <t>09-Jan-2021</t>
  </si>
  <si>
    <t>CUST1488</t>
  </si>
  <si>
    <t>ivan.lopez34@company.co</t>
  </si>
  <si>
    <t>+17694606837</t>
  </si>
  <si>
    <t>2022-10-13</t>
  </si>
  <si>
    <t>CUST1489</t>
  </si>
  <si>
    <t>noah.smith73@yahoo.com</t>
  </si>
  <si>
    <t>587-264-7080</t>
  </si>
  <si>
    <t>2023-11-03</t>
  </si>
  <si>
    <t>CUST1490</t>
  </si>
  <si>
    <t>emma.costa63@outlook.com</t>
  </si>
  <si>
    <t>CUST1491</t>
  </si>
  <si>
    <t>layla.malik29 at company.co</t>
  </si>
  <si>
    <t>799.408.6939</t>
  </si>
  <si>
    <t>CUST1492</t>
  </si>
  <si>
    <t>730-955-5657</t>
  </si>
  <si>
    <t>CUST1493</t>
  </si>
  <si>
    <t>nadia.costa74@company.co</t>
  </si>
  <si>
    <t>16-Jan-2021</t>
  </si>
  <si>
    <t>CUST1494</t>
  </si>
  <si>
    <t>Yusuf Costa</t>
  </si>
  <si>
    <t>yusuf.costa10@yahoo.com</t>
  </si>
  <si>
    <t>976-333-2583</t>
  </si>
  <si>
    <t>03-Nov-2022</t>
  </si>
  <si>
    <t>CUST1495</t>
  </si>
  <si>
    <t>noah.patel83@company.co</t>
  </si>
  <si>
    <t>(656) 950-1505</t>
  </si>
  <si>
    <t>28-Feb-2022</t>
  </si>
  <si>
    <t>CUST1496</t>
  </si>
  <si>
    <t>rohan.lopez17@gmail.com</t>
  </si>
  <si>
    <t>957.741.8124</t>
  </si>
  <si>
    <t>2019-08-04</t>
  </si>
  <si>
    <t>CUST1497</t>
  </si>
  <si>
    <t>noah.novak9@company.co</t>
  </si>
  <si>
    <t>+14618974605</t>
  </si>
  <si>
    <t>2023-06-24</t>
  </si>
  <si>
    <t>CUST1498</t>
  </si>
  <si>
    <t>emma.lopez6@company.co</t>
  </si>
  <si>
    <t>346-700-7219</t>
  </si>
  <si>
    <t>2022-11-18</t>
  </si>
  <si>
    <t>CUST1499</t>
  </si>
  <si>
    <t>elena.ahmed74@company.co</t>
  </si>
  <si>
    <t>447.923.6185</t>
  </si>
  <si>
    <t>EmailStatus</t>
  </si>
  <si>
    <t>PhoneStatus</t>
  </si>
  <si>
    <t>SignupYear</t>
  </si>
  <si>
    <t>DateStatus</t>
  </si>
  <si>
    <t>Valid</t>
  </si>
  <si>
    <t>(281) 437-5411</t>
  </si>
  <si>
    <t>(518) 631-4115</t>
  </si>
  <si>
    <t>(514) 776-7123</t>
  </si>
  <si>
    <t>(654) 432-8566</t>
  </si>
  <si>
    <t>(654) 237-2029</t>
  </si>
  <si>
    <t>(472) 741-9640</t>
  </si>
  <si>
    <t>leo.ahmed8@outlook.com</t>
  </si>
  <si>
    <t>(818) 486-1692</t>
  </si>
  <si>
    <t>(751) 395-9177</t>
  </si>
  <si>
    <t>(621) 788-9611</t>
  </si>
  <si>
    <t>(258) 320-6154</t>
  </si>
  <si>
    <t>(836) 583-1663</t>
  </si>
  <si>
    <t>(769) 696-8649</t>
  </si>
  <si>
    <t>(976) 529-1534</t>
  </si>
  <si>
    <t>(799) 510-9808</t>
  </si>
  <si>
    <t>(858) 742-5431</t>
  </si>
  <si>
    <t>(556) 625-7131</t>
  </si>
  <si>
    <t>rohan.fernandez2@outlook.com</t>
  </si>
  <si>
    <t>(344) 112-5393</t>
  </si>
  <si>
    <t>(313) 289-8389</t>
  </si>
  <si>
    <t>(231) 628-6837</t>
  </si>
  <si>
    <t>(301) 836-6659</t>
  </si>
  <si>
    <t>(345) 393-7914</t>
  </si>
  <si>
    <t>(245) 229-9068</t>
  </si>
  <si>
    <t>(339) 462-3204</t>
  </si>
  <si>
    <t>(335) 271-4728</t>
  </si>
  <si>
    <t>(810) 529-1745</t>
  </si>
  <si>
    <t>(890) 766-0931</t>
  </si>
  <si>
    <t>(476) 274-5602</t>
  </si>
  <si>
    <t>(567) 839-7537</t>
  </si>
  <si>
    <t>(623) 564-4902</t>
  </si>
  <si>
    <t>(621) 369-8905</t>
  </si>
  <si>
    <t>(693) 328-8428</t>
  </si>
  <si>
    <t>(244) 432-7185</t>
  </si>
  <si>
    <t>(852) 381-9244</t>
  </si>
  <si>
    <t>(447) 368-5072</t>
  </si>
  <si>
    <t>(973) 519-2088</t>
  </si>
  <si>
    <t>(209) 924-5208</t>
  </si>
  <si>
    <t>(549) 739-3755</t>
  </si>
  <si>
    <t>(973) 025-5880</t>
  </si>
  <si>
    <t>(621) 115-1198</t>
  </si>
  <si>
    <t>(422) 596-8363</t>
  </si>
  <si>
    <t>(280) 529-6969</t>
  </si>
  <si>
    <t>(283) 187-3798</t>
  </si>
  <si>
    <t>(764) 455-9259</t>
  </si>
  <si>
    <t>(846) 298-5457</t>
  </si>
  <si>
    <t>(374) 537-5597</t>
  </si>
  <si>
    <t>(361) 650-1047</t>
  </si>
  <si>
    <t>(305) 328-7235</t>
  </si>
  <si>
    <t>(266) 639-3605</t>
  </si>
  <si>
    <t>(966) 255-5465</t>
  </si>
  <si>
    <t>(567) 578-7245</t>
  </si>
  <si>
    <t>(405) 826-6961</t>
  </si>
  <si>
    <t>(418) 284-1515</t>
  </si>
  <si>
    <t>(266) 773-5819</t>
  </si>
  <si>
    <t>(711) 455-9038</t>
  </si>
  <si>
    <t>(688) 946-1087</t>
  </si>
  <si>
    <t>(414) 455-6272</t>
  </si>
  <si>
    <t>(678) 663-4532</t>
  </si>
  <si>
    <t>(888) 707-6110</t>
  </si>
  <si>
    <t>(849) 222-2976</t>
  </si>
  <si>
    <t>(380) 381-4697</t>
  </si>
  <si>
    <t>(611) 490-6507</t>
  </si>
  <si>
    <t>(769) 581-2622</t>
  </si>
  <si>
    <t>(384) 616-9703</t>
  </si>
  <si>
    <t>rohan.fernandez43@yahoo.com</t>
  </si>
  <si>
    <t>omar.malik44@outlook.com</t>
  </si>
  <si>
    <t>(845) 723-1814</t>
  </si>
  <si>
    <t>leo.ahmed76@company.co</t>
  </si>
  <si>
    <t>(879) 096-5496</t>
  </si>
  <si>
    <t>(732) 489-8903</t>
  </si>
  <si>
    <t>(472) 527-6603</t>
  </si>
  <si>
    <t>(943) 764-8643</t>
  </si>
  <si>
    <t>(741) 549-4623</t>
  </si>
  <si>
    <t>(654) 316-7699</t>
  </si>
  <si>
    <t>(879) 387-0145</t>
  </si>
  <si>
    <t>(968) 335-8684</t>
  </si>
  <si>
    <t>(703) 575-8640</t>
  </si>
  <si>
    <t>(707) 485-7714</t>
  </si>
  <si>
    <t>(894) 812-9116</t>
  </si>
  <si>
    <t>(757) 829-9618</t>
  </si>
  <si>
    <t>(775) 258-5220</t>
  </si>
  <si>
    <t>(536) 336-1355</t>
  </si>
  <si>
    <t>(815) 761-5376</t>
  </si>
  <si>
    <t>(920) 631-9853</t>
  </si>
  <si>
    <t>(539) 709-6724</t>
  </si>
  <si>
    <t>(788) 370-7513</t>
  </si>
  <si>
    <t>(948) 700-4860</t>
  </si>
  <si>
    <t>(829) 937-3838</t>
  </si>
  <si>
    <t>(702) 664-2914</t>
  </si>
  <si>
    <t>(282) 398-3324</t>
  </si>
  <si>
    <t>(849) 977-4909</t>
  </si>
  <si>
    <t>(817) 908-9328</t>
  </si>
  <si>
    <t>mary.fernandez15@yahoo.com</t>
  </si>
  <si>
    <t>nadia.malik70@yahoo.com</t>
  </si>
  <si>
    <t>(572) 728-8049</t>
  </si>
  <si>
    <t>(385) 523-2285</t>
  </si>
  <si>
    <t>(662) 913-2856</t>
  </si>
  <si>
    <t>ali.smith7@outlook.com</t>
  </si>
  <si>
    <t>(599) 840-6929</t>
  </si>
  <si>
    <t>(790) 890-7127</t>
  </si>
  <si>
    <t>(516) 597-9591</t>
  </si>
  <si>
    <t>(257) 721-3084</t>
  </si>
  <si>
    <t>(523) 415-8790</t>
  </si>
  <si>
    <t>(827) 654-2511</t>
  </si>
  <si>
    <t>(692) 668-6924</t>
  </si>
  <si>
    <t>(294) 370-1281</t>
  </si>
  <si>
    <t>(622) 938-3355</t>
  </si>
  <si>
    <t>(433) 756-3775</t>
  </si>
  <si>
    <t>(794) 454-1658</t>
  </si>
  <si>
    <t>(537) 668-6188</t>
  </si>
  <si>
    <t>(488) 190-6081</t>
  </si>
  <si>
    <t>(541) 815-5569</t>
  </si>
  <si>
    <t>(625) 684-7480</t>
  </si>
  <si>
    <t>(869) 360-5470</t>
  </si>
  <si>
    <t>(755) 353-1567</t>
  </si>
  <si>
    <t>(365) 992-6507</t>
  </si>
  <si>
    <t>(538) 587-8376</t>
  </si>
  <si>
    <t>(654) 529-8732</t>
  </si>
  <si>
    <t>(640) 365-6549</t>
  </si>
  <si>
    <t>(554) 401-6612</t>
  </si>
  <si>
    <t>(459) 591-1877</t>
  </si>
  <si>
    <t>(767) 791-1614</t>
  </si>
  <si>
    <t>(843) 625-2388</t>
  </si>
  <si>
    <t>(498) 853-7307</t>
  </si>
  <si>
    <t>(493) 245-4287</t>
  </si>
  <si>
    <t>(426) 213-6581</t>
  </si>
  <si>
    <t>(963) 302-2811</t>
  </si>
  <si>
    <t>(797) 587-2862</t>
  </si>
  <si>
    <t>noah.ahmed53@gmail.com</t>
  </si>
  <si>
    <t>(514) 634-4710</t>
  </si>
  <si>
    <t>(379) 839-5807</t>
  </si>
  <si>
    <t>fatima.malik79@company.co</t>
  </si>
  <si>
    <t>(272) 732-1372</t>
  </si>
  <si>
    <t>(986) 721-8673</t>
  </si>
  <si>
    <t>(589) 170-9458</t>
  </si>
  <si>
    <t>(398) 952-2104</t>
  </si>
  <si>
    <t>(672) 050-2352</t>
  </si>
  <si>
    <t>(490) 224-1234</t>
  </si>
  <si>
    <t>(562) 413-4611</t>
  </si>
  <si>
    <t>(843) 808-8888</t>
  </si>
  <si>
    <t>(507) 598-7729</t>
  </si>
  <si>
    <t>(601) 578-7045</t>
  </si>
  <si>
    <t>(400) 577-7718</t>
  </si>
  <si>
    <t>(314) 756-5418</t>
  </si>
  <si>
    <t>(980) 135-1043</t>
  </si>
  <si>
    <t>(594) 792-3473</t>
  </si>
  <si>
    <t>(607) 330-7079</t>
  </si>
  <si>
    <t>(303) 606-9545</t>
  </si>
  <si>
    <t>(439) 151-5559</t>
  </si>
  <si>
    <t>noah.novak78@yahoo.com</t>
  </si>
  <si>
    <t>(810) 757-3760</t>
  </si>
  <si>
    <t>(929) 547-2814</t>
  </si>
  <si>
    <t>(311) 316-2924</t>
  </si>
  <si>
    <t>(531) 955-8638</t>
  </si>
  <si>
    <t>(683) 631-2774</t>
  </si>
  <si>
    <t>(833) 431-4874</t>
  </si>
  <si>
    <t>(667) 969-4161</t>
  </si>
  <si>
    <t>(762) 584-4533</t>
  </si>
  <si>
    <t>(950) 508-4667</t>
  </si>
  <si>
    <t>(658) 419-4555</t>
  </si>
  <si>
    <t>(228) 418-9170</t>
  </si>
  <si>
    <t>ivan.novak72@outlook.com</t>
  </si>
  <si>
    <t>(459) 522-5397</t>
  </si>
  <si>
    <t>(843) 461-4713</t>
  </si>
  <si>
    <t>(216) 441-1978</t>
  </si>
  <si>
    <t>(374) 956-9796</t>
  </si>
  <si>
    <t>(558) 840-5717</t>
  </si>
  <si>
    <t>(783) 594-4494</t>
  </si>
  <si>
    <t>(701) 704-3629</t>
  </si>
  <si>
    <t>(395) 489-3827</t>
  </si>
  <si>
    <t>(673) 017-9678</t>
  </si>
  <si>
    <t>(579) 274-2987</t>
  </si>
  <si>
    <t>(634) 447-5122</t>
  </si>
  <si>
    <t>john.patel28@outlook.com</t>
  </si>
  <si>
    <t>(213) 683-2621</t>
  </si>
  <si>
    <t>(785) 669-2656</t>
  </si>
  <si>
    <t>(785) 730-7771</t>
  </si>
  <si>
    <t>(309) 362-3825</t>
  </si>
  <si>
    <t>(614) 973-1290</t>
  </si>
  <si>
    <t>(604) 646-3906</t>
  </si>
  <si>
    <t>(389) 376-1671</t>
  </si>
  <si>
    <t>(980) 811-2341</t>
  </si>
  <si>
    <t>(748) 711-3834</t>
  </si>
  <si>
    <t>(755) 511-7246</t>
  </si>
  <si>
    <t>mary.ahmed50@company.co</t>
  </si>
  <si>
    <t>(267) 929-9038</t>
  </si>
  <si>
    <t>(618) 212-2885</t>
  </si>
  <si>
    <t>(352) 694-2544</t>
  </si>
  <si>
    <t>(243) 644-7797</t>
  </si>
  <si>
    <t>(201) 211-7169</t>
  </si>
  <si>
    <t>(692) 576-9176</t>
  </si>
  <si>
    <t>(941) 892-4058</t>
  </si>
  <si>
    <t>(666) 355-3735</t>
  </si>
  <si>
    <t>(712) 969-6550</t>
  </si>
  <si>
    <t>(299) 769-1555</t>
  </si>
  <si>
    <t>(459) 854-3152</t>
  </si>
  <si>
    <t>(201) 669-3016</t>
  </si>
  <si>
    <t>(807) 439-1240</t>
  </si>
  <si>
    <t>(874) 799-1954</t>
  </si>
  <si>
    <t>(612) 607-2490</t>
  </si>
  <si>
    <t>(998) 321-7479</t>
  </si>
  <si>
    <t>(415) 303-5111</t>
  </si>
  <si>
    <t>(630) 901-9724</t>
  </si>
  <si>
    <t>(484) 668-1844</t>
  </si>
  <si>
    <t>(354) 561-9635</t>
  </si>
  <si>
    <t>(537) 874-3195</t>
  </si>
  <si>
    <t>(810) 822-8538</t>
  </si>
  <si>
    <t>(778) 452-6938</t>
  </si>
  <si>
    <t>(338) 897-2103</t>
  </si>
  <si>
    <t>(295) 483-1402</t>
  </si>
  <si>
    <t>(748) 763-4853</t>
  </si>
  <si>
    <t>(737) 774-2724</t>
  </si>
  <si>
    <t>(710) 581-9782</t>
  </si>
  <si>
    <t>(950) 051-8158</t>
  </si>
  <si>
    <t>(672) 674-6996</t>
  </si>
  <si>
    <t>(202) 889-1879</t>
  </si>
  <si>
    <t>(744) 982-9500</t>
  </si>
  <si>
    <t>(238) 725-5322</t>
  </si>
  <si>
    <t>(717) 393-6489</t>
  </si>
  <si>
    <t>(234) 414-3326</t>
  </si>
  <si>
    <t>yusuf.smith63@company.co</t>
  </si>
  <si>
    <t>(712) 366-9570</t>
  </si>
  <si>
    <t>(644) 185-9295</t>
  </si>
  <si>
    <t>(711) 560-6437</t>
  </si>
  <si>
    <t>priya.novak14@outlook.com</t>
  </si>
  <si>
    <t>(641) 432-5388</t>
  </si>
  <si>
    <t>(246) 922-2104</t>
  </si>
  <si>
    <t>(706) 979-8383</t>
  </si>
  <si>
    <t>(200) 543-0129</t>
  </si>
  <si>
    <t>ali.patel45@gmail.com</t>
  </si>
  <si>
    <t>(609) 460-5444</t>
  </si>
  <si>
    <t>(774) 670-9588</t>
  </si>
  <si>
    <t>(394) 515-7184</t>
  </si>
  <si>
    <t>(591) 208-8159</t>
  </si>
  <si>
    <t>(897) 949-8070</t>
  </si>
  <si>
    <t>(753) 482-2999</t>
  </si>
  <si>
    <t>nadia.malik84@outlook.com</t>
  </si>
  <si>
    <t>(979) 461-5554</t>
  </si>
  <si>
    <t>(973) 031-0735</t>
  </si>
  <si>
    <t>(229) 435-1866</t>
  </si>
  <si>
    <t>(358) 999-7099</t>
  </si>
  <si>
    <t>(774) 709-9986</t>
  </si>
  <si>
    <t>(529) 366-3727</t>
  </si>
  <si>
    <t>(840) 520-6480</t>
  </si>
  <si>
    <t>(595) 443-9614</t>
  </si>
  <si>
    <t>(875) 022-4766</t>
  </si>
  <si>
    <t>(356) 548-7224</t>
  </si>
  <si>
    <t>(655) 334-8236</t>
  </si>
  <si>
    <t>(201) 734-1353</t>
  </si>
  <si>
    <t>(662) 932-8954</t>
  </si>
  <si>
    <t>(957) 372-7149</t>
  </si>
  <si>
    <t>(938) 473-8281</t>
  </si>
  <si>
    <t>(617) 388-5442</t>
  </si>
  <si>
    <t>(542) 748-0276</t>
  </si>
  <si>
    <t>(408) 141-5164</t>
  </si>
  <si>
    <t>(707) 120-0698</t>
  </si>
  <si>
    <t>(720) 409-7027</t>
  </si>
  <si>
    <t>(307) 983-7681</t>
  </si>
  <si>
    <t>(249) 770-7780</t>
  </si>
  <si>
    <t>(386) 481-5047</t>
  </si>
  <si>
    <t>(368) 601-5419</t>
  </si>
  <si>
    <t>(827) 097-2705</t>
  </si>
  <si>
    <t>(325) 738-6210</t>
  </si>
  <si>
    <t>fatima.jones53@gmail.com</t>
  </si>
  <si>
    <t>(215) 692-4742</t>
  </si>
  <si>
    <t>(282) 608-0791</t>
  </si>
  <si>
    <t>(922) 991-3244</t>
  </si>
  <si>
    <t>(451) 625-6361</t>
  </si>
  <si>
    <t>(805) 874-2748</t>
  </si>
  <si>
    <t>(609) 816-7200</t>
  </si>
  <si>
    <t>(321) 975-8010</t>
  </si>
  <si>
    <t>(670) 779-9980</t>
  </si>
  <si>
    <t>(956) 067-3808</t>
  </si>
  <si>
    <t>(492) 300-6584</t>
  </si>
  <si>
    <t>(620) 249-7212</t>
  </si>
  <si>
    <t>(622) 817-9755</t>
  </si>
  <si>
    <t>(986) 954-9844</t>
  </si>
  <si>
    <t>(868) 407-1590</t>
  </si>
  <si>
    <t>(813) 260-9524</t>
  </si>
  <si>
    <t>(367) 680-5923</t>
  </si>
  <si>
    <t>(356) 952-8322</t>
  </si>
  <si>
    <t>(631) 465-8832</t>
  </si>
  <si>
    <t>(254) 948-4148</t>
  </si>
  <si>
    <t>(925) 718-9704</t>
  </si>
  <si>
    <t>(356) 492-9672</t>
  </si>
  <si>
    <t>(528) 743-5218</t>
  </si>
  <si>
    <t>(920) 613-7006</t>
  </si>
  <si>
    <t>(438) 739-6307</t>
  </si>
  <si>
    <t>(859) 888-1511</t>
  </si>
  <si>
    <t>(956) 874-7675</t>
  </si>
  <si>
    <t>(281) 981-5838</t>
  </si>
  <si>
    <t>(857) 721-5658</t>
  </si>
  <si>
    <t>(769) 460-6837</t>
  </si>
  <si>
    <t>(587) 264-7080</t>
  </si>
  <si>
    <t>layla.malik29@company.co</t>
  </si>
  <si>
    <t>(799) 408-6939</t>
  </si>
  <si>
    <t>(730) 955-5657</t>
  </si>
  <si>
    <t>(976) 333-2583</t>
  </si>
  <si>
    <t>(957) 741-8124</t>
  </si>
  <si>
    <t>(461) 897-4605</t>
  </si>
  <si>
    <t>(346) 700-7219</t>
  </si>
  <si>
    <t>(447) 923-6185</t>
  </si>
  <si>
    <t>Note: Email/Phone/SignupDate were parsed and standardized from the raw export ("-" placeholders, mixed date formats, "name at domain" emails, mixed phone formats) using a one-time cleaning pass. Edit values here directly if you spot a correction; the Dashboard sheet formulas recalculate automatically.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</si>
</sst>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$#,##0"/>
    <numFmt numFmtId="165" formatCode="\$#,##0.00"/>
    <numFmt numFmtId="166" formatCode="0.0%"/>
    <numFmt numFmtId="167" formatCode="yyyy\-mm\-dd"/>
  </numFmts>
  <fonts count="10" x14ac:knownFonts="1">
    <font>
      <sz val="11"/>
      <color theme="1"/>
      <name val="Calibri"/>
      <family val="2"/>
      <charset val="1"/>
    </font>
    <font>
      <b/>
      <sz val="16"/>
      <color rgb="FF1F4E78"/>
      <name val="Arial"/>
      <family val="2"/>
    </font>
    <font>
      <i/>
      <sz val="9"/>
      <color rgb="FF808080"/>
      <name val="Arial"/>
      <family val="2"/>
    </font>
    <font>
      <b/>
      <sz val="10"/>
      <color rgb="FF595959"/>
      <name val="Arial"/>
      <family val="2"/>
    </font>
    <font>
      <b/>
      <sz val="20"/>
      <color rgb="FF1F4E78"/>
      <name val="Arial"/>
      <family val="2"/>
    </font>
    <font>
      <b/>
      <sz val="14"/>
      <color rgb="FFC00000"/>
      <name val="Arial"/>
      <family val="2"/>
    </font>
    <font>
      <b/>
      <sz val="12"/>
      <color rgb="FF1F4E78"/>
      <name val="Arial"/>
      <family val="2"/>
    </font>
    <font>
      <b/>
      <sz val="11"/>
      <color rgb="FFFFFFFF"/>
      <name val="Arial"/>
      <family val="2"/>
    </font>
    <font>
      <sz val="10"/>
      <name val="Arial"/>
      <family val="2"/>
    </font>
    <font>
      <sz val="10"/>
      <color rgb="FF9C000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FC7CE"/>
        <bgColor rgb="FFD9D9D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3" fontId="4" fillId="0" borderId="0" xfId="0" applyNumberFormat="1" applyFont="1"/>
    <xf numFmtId="164" fontId="4" fillId="0" borderId="0" xfId="0" applyNumberFormat="1" applyFont="1"/>
    <xf numFmtId="165" fontId="4" fillId="0" borderId="0" xfId="0" applyNumberFormat="1" applyFont="1"/>
    <xf numFmtId="3" fontId="5" fillId="0" borderId="0" xfId="0" applyNumberFormat="1" applyFont="1"/>
    <xf numFmtId="0" fontId="6" fillId="0" borderId="0" xfId="0" applyFont="1"/>
    <xf numFmtId="0" fontId="7" fillId="2" borderId="0" xfId="0" applyFont="1" applyFill="1"/>
    <xf numFmtId="0" fontId="8" fillId="0" borderId="0" xfId="0" applyFont="1"/>
    <xf numFmtId="164" fontId="8" fillId="0" borderId="0" xfId="0" applyNumberFormat="1" applyFont="1"/>
    <xf numFmtId="166" fontId="8" fillId="0" borderId="0" xfId="0" applyNumberFormat="1" applyFont="1"/>
    <xf numFmtId="0" fontId="7" fillId="2" borderId="0" xfId="0" applyFont="1" applyFill="1" applyAlignment="1">
      <alignment horizontal="center"/>
    </xf>
    <xf numFmtId="167" fontId="0" fillId="0" borderId="0" xfId="0" applyNumberFormat="1"/>
    <xf numFmtId="165" fontId="0" fillId="0" borderId="0" xfId="0" applyNumberFormat="1"/>
    <xf numFmtId="0" fontId="9" fillId="3" borderId="0" xfId="0" applyFont="1" applyFill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C0504D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4A7EBB"/>
      <rgbColor rgb="FF33CCCC"/>
      <rgbColor rgb="FF9BBB59"/>
      <rgbColor rgb="FFFFCC00"/>
      <rgbColor rgb="FFFF9900"/>
      <rgbColor rgb="FFFF6600"/>
      <rgbColor rgb="FF595959"/>
      <rgbColor rgb="FF878787"/>
      <rgbColor rgb="FF003366"/>
      <rgbColor rgb="FF4F81BD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Revenue by 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Dashboard!$B$12</c:f>
              <c:strCache>
                <c:ptCount val="1"/>
                <c:pt idx="0">
                  <c:v>Total Revenue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Dashboard!$A$13:$A$19</c:f>
              <c:strCache>
                <c:ptCount val="7"/>
                <c:pt idx="0">
                  <c:v>Australia</c:v>
                </c:pt>
                <c:pt idx="1">
                  <c:v>Canada</c:v>
                </c:pt>
                <c:pt idx="2">
                  <c:v>France</c:v>
                </c:pt>
                <c:pt idx="3">
                  <c:v>Germany</c:v>
                </c:pt>
                <c:pt idx="4">
                  <c:v>India</c:v>
                </c:pt>
                <c:pt idx="5">
                  <c:v>United Kingdom</c:v>
                </c:pt>
                <c:pt idx="6">
                  <c:v>United States</c:v>
                </c:pt>
              </c:strCache>
            </c:strRef>
          </c:cat>
          <c:val>
            <c:numRef>
              <c:f>Dashboard!$B$13:$B$19</c:f>
              <c:numCache>
                <c:formatCode>\$#,##0</c:formatCode>
                <c:ptCount val="7"/>
                <c:pt idx="0">
                  <c:v>114000.44999999998</c:v>
                </c:pt>
                <c:pt idx="1">
                  <c:v>153710.17999999993</c:v>
                </c:pt>
                <c:pt idx="2">
                  <c:v>76836.930000000008</c:v>
                </c:pt>
                <c:pt idx="3">
                  <c:v>204066.83000000007</c:v>
                </c:pt>
                <c:pt idx="4">
                  <c:v>152923.12000000002</c:v>
                </c:pt>
                <c:pt idx="5">
                  <c:v>164764.52000000002</c:v>
                </c:pt>
                <c:pt idx="6">
                  <c:v>265694.28000000003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4D-42DB-9DBA-A9B0B26F6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66482108"/>
        <c:axId val="2733968"/>
      </c:barChart>
      <c:catAx>
        <c:axId val="664821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3968"/>
        <c:crosses val="autoZero"/>
        <c:auto val="1"/>
        <c:lblAlgn val="ctr"/>
        <c:lblOffset val="100"/>
        <c:noMultiLvlLbl val="0"/>
      </c:catAx>
      <c:valAx>
        <c:axId val="27339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Revenue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$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821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Signups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Dashboard!$F$12</c:f>
              <c:strCache>
                <c:ptCount val="1"/>
                <c:pt idx="0">
                  <c:v>New Customers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Dashboard!$E$13:$E$18</c:f>
              <c:numCache>
                <c:formatCode>General</c:formatCode>
                <c:ptCount val="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</c:numCache>
            </c:numRef>
          </c:cat>
          <c:val>
            <c:numRef>
              <c:f>Dashboard!$F$13:$F$18</c:f>
              <c:numCache>
                <c:formatCode>General</c:formatCode>
                <c:ptCount val="6"/>
                <c:pt idx="0">
                  <c:v>73</c:v>
                </c:pt>
                <c:pt idx="1">
                  <c:v>67</c:v>
                </c:pt>
                <c:pt idx="2">
                  <c:v>75</c:v>
                </c:pt>
                <c:pt idx="3">
                  <c:v>71</c:v>
                </c:pt>
                <c:pt idx="4">
                  <c:v>72</c:v>
                </c:pt>
                <c:pt idx="5">
                  <c:v>37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5A-4DCA-BF32-FE6ACA5CE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hiLowLines>
          <c:spPr>
            <a:ln w="9525">
              <a:solidFill>
                <a:schemeClr val="accent1">
                  <a:lumMod val="60000"/>
                  <a:lumOff val="40000"/>
                </a:schemeClr>
              </a:solidFill>
              <a:prstDash val="dash"/>
            </a:ln>
            <a:effectLst/>
          </c:spPr>
        </c:hiLowLines>
        <c:smooth val="0"/>
        <c:axId val="35553180"/>
        <c:axId val="52670403"/>
      </c:lineChart>
      <c:catAx>
        <c:axId val="35553180"/>
        <c:scaling>
          <c:orientation val="minMax"/>
        </c:scaling>
        <c:delete val="0"/>
        <c:axPos val="b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70403"/>
        <c:crosses val="autoZero"/>
        <c:auto val="1"/>
        <c:lblAlgn val="ctr"/>
        <c:lblOffset val="100"/>
        <c:noMultiLvlLbl val="0"/>
      </c:catAx>
      <c:valAx>
        <c:axId val="526704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New Customers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531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Data Quality — Missing Fields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Dashboard!$J$12</c:f>
              <c:strCache>
                <c:ptCount val="1"/>
                <c:pt idx="0">
                  <c:v>Missing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229-490E-98E3-A314D5F736B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229-490E-98E3-A314D5F736B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229-490E-98E3-A314D5F736B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1"/>
            <c:separator> 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Dashboard!$I$13:$I$15</c:f>
              <c:strCache>
                <c:ptCount val="3"/>
                <c:pt idx="0">
                  <c:v>Email</c:v>
                </c:pt>
                <c:pt idx="1">
                  <c:v>Phone</c:v>
                </c:pt>
                <c:pt idx="2">
                  <c:v>Signup Date</c:v>
                </c:pt>
              </c:strCache>
            </c:strRef>
          </c:cat>
          <c:val>
            <c:numRef>
              <c:f>Dashboard!$J$13:$J$15</c:f>
              <c:numCache>
                <c:formatCode>General</c:formatCode>
                <c:ptCount val="3"/>
                <c:pt idx="0">
                  <c:v>42</c:v>
                </c:pt>
                <c:pt idx="1">
                  <c:v>100</c:v>
                </c:pt>
                <c:pt idx="2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229-490E-98E3-A314D5F736B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171720</xdr:rowOff>
    </xdr:from>
    <xdr:to>
      <xdr:col>4</xdr:col>
      <xdr:colOff>810360</xdr:colOff>
      <xdr:row>33</xdr:row>
      <xdr:rowOff>24120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836706</xdr:colOff>
      <xdr:row>18</xdr:row>
      <xdr:rowOff>171360</xdr:rowOff>
    </xdr:from>
    <xdr:to>
      <xdr:col>7</xdr:col>
      <xdr:colOff>1540970</xdr:colOff>
      <xdr:row>32</xdr:row>
      <xdr:rowOff>24120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14941</xdr:colOff>
      <xdr:row>17</xdr:row>
      <xdr:rowOff>51831</xdr:rowOff>
    </xdr:from>
    <xdr:to>
      <xdr:col>13</xdr:col>
      <xdr:colOff>214021</xdr:colOff>
      <xdr:row>30</xdr:row>
      <xdr:rowOff>91355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eanData" displayName="CleanData" ref="A1:K501" totalsRowShown="0">
  <autoFilter ref="A1:K501" xr:uid="{00000000-0009-0000-0100-000001000000}"/>
  <tableColumns count="11">
    <tableColumn id="1" xr3:uid="{00000000-0010-0000-0000-000001000000}" name="CustomerID"/>
    <tableColumn id="2" xr3:uid="{00000000-0010-0000-0000-000002000000}" name="FullName"/>
    <tableColumn id="3" xr3:uid="{00000000-0010-0000-0000-000003000000}" name="Email"/>
    <tableColumn id="4" xr3:uid="{00000000-0010-0000-0000-000004000000}" name="EmailStatus"/>
    <tableColumn id="5" xr3:uid="{00000000-0010-0000-0000-000005000000}" name="Phone"/>
    <tableColumn id="6" xr3:uid="{00000000-0010-0000-0000-000006000000}" name="PhoneStatus"/>
    <tableColumn id="7" xr3:uid="{00000000-0010-0000-0000-000007000000}" name="SignupDate"/>
    <tableColumn id="8" xr3:uid="{00000000-0010-0000-0000-000008000000}" name="SignupYear"/>
    <tableColumn id="9" xr3:uid="{00000000-0010-0000-0000-000009000000}" name="DateStatus"/>
    <tableColumn id="10" xr3:uid="{00000000-0010-0000-0000-00000A000000}" name="Country"/>
    <tableColumn id="11" xr3:uid="{00000000-0010-0000-0000-00000B000000}" name="Reven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9"/>
  <sheetViews>
    <sheetView showGridLines="0" tabSelected="1" zoomScale="85" zoomScaleNormal="85" workbookViewId="0">
      <selection activeCell="B5" sqref="B5"/>
    </sheetView>
  </sheetViews>
  <sheetFormatPr defaultColWidth="8.6328125" defaultRowHeight="14.5" x14ac:dyDescent="0.35"/>
  <cols>
    <col min="1" max="4" width="15" customWidth="1"/>
    <col min="5" max="5" width="19.54296875" bestFit="1" customWidth="1"/>
    <col min="6" max="7" width="15" customWidth="1"/>
    <col min="8" max="8" width="22.36328125" bestFit="1" customWidth="1"/>
    <col min="9" max="12" width="15" customWidth="1"/>
  </cols>
  <sheetData>
    <row r="1" spans="1:11" ht="20" x14ac:dyDescent="0.4">
      <c r="A1" s="1" t="s">
        <v>0</v>
      </c>
    </row>
    <row r="2" spans="1:11" x14ac:dyDescent="0.35">
      <c r="A2" s="2" t="s">
        <v>1</v>
      </c>
    </row>
    <row r="4" spans="1:11" x14ac:dyDescent="0.35">
      <c r="B4" s="3" t="s">
        <v>2</v>
      </c>
      <c r="E4" s="3" t="s">
        <v>3</v>
      </c>
      <c r="H4" s="3" t="s">
        <v>4</v>
      </c>
      <c r="K4" s="3" t="s">
        <v>5</v>
      </c>
    </row>
    <row r="5" spans="1:11" ht="25" x14ac:dyDescent="0.5">
      <c r="B5" s="4">
        <f>COUNTA('Clean Data'!A2:A501)</f>
        <v>500</v>
      </c>
      <c r="E5" s="5">
        <f>SUM('Clean Data'!K2:K501)</f>
        <v>1131996.3099999996</v>
      </c>
      <c r="H5" s="6">
        <f>AVERAGEIF('Clean Data'!K2:K501,"&lt;&gt;Missing")</f>
        <v>2263.9926199999991</v>
      </c>
      <c r="K5" s="4">
        <f>SUMPRODUCT(('Clean Data'!J2:J501&lt;&gt;"")/COUNTIF('Clean Data'!J2:J501,'Clean Data'!J2:J501&amp;""))</f>
        <v>7.0000000000000098</v>
      </c>
    </row>
    <row r="7" spans="1:11" x14ac:dyDescent="0.35">
      <c r="B7" s="3" t="s">
        <v>6</v>
      </c>
      <c r="E7" s="3" t="s">
        <v>7</v>
      </c>
      <c r="H7" s="3" t="s">
        <v>8</v>
      </c>
      <c r="K7" s="3" t="s">
        <v>9</v>
      </c>
    </row>
    <row r="8" spans="1:11" ht="18" x14ac:dyDescent="0.4">
      <c r="B8" s="7">
        <f>COUNTIF('Clean Data'!D2:D501,"Missing")</f>
        <v>42</v>
      </c>
      <c r="E8" s="7">
        <f>COUNTIF('Clean Data'!F2:F501,"Missing")</f>
        <v>100</v>
      </c>
      <c r="H8" s="7">
        <f>COUNTIF('Clean Data'!I2:I501,"Missing")</f>
        <v>105</v>
      </c>
      <c r="K8" s="7">
        <f>COUNTIF('Clean Data'!D2:D501,"Invalid format")</f>
        <v>0</v>
      </c>
    </row>
    <row r="11" spans="1:11" ht="15.5" x14ac:dyDescent="0.35">
      <c r="A11" s="8" t="s">
        <v>10</v>
      </c>
      <c r="E11" s="8" t="s">
        <v>11</v>
      </c>
      <c r="I11" s="8" t="s">
        <v>12</v>
      </c>
    </row>
    <row r="12" spans="1:11" x14ac:dyDescent="0.35">
      <c r="A12" s="9" t="s">
        <v>13</v>
      </c>
      <c r="B12" s="9" t="s">
        <v>3</v>
      </c>
      <c r="C12" s="9" t="s">
        <v>14</v>
      </c>
      <c r="E12" s="9" t="s">
        <v>15</v>
      </c>
      <c r="F12" s="9" t="s">
        <v>16</v>
      </c>
      <c r="I12" s="9" t="s">
        <v>17</v>
      </c>
      <c r="J12" s="9" t="s">
        <v>18</v>
      </c>
      <c r="K12" s="9" t="s">
        <v>19</v>
      </c>
    </row>
    <row r="13" spans="1:11" x14ac:dyDescent="0.35">
      <c r="A13" s="10" t="s">
        <v>20</v>
      </c>
      <c r="B13" s="11">
        <f>SUMIFS('Clean Data'!K2:K501,'Clean Data'!J2:J501,A13,'Clean Data'!K2:K501,"&lt;&gt;Missing")</f>
        <v>114000.44999999998</v>
      </c>
      <c r="C13" s="10">
        <f>COUNTIF('Clean Data'!J2:J501,A13)</f>
        <v>54</v>
      </c>
      <c r="E13" s="10">
        <v>2019</v>
      </c>
      <c r="F13" s="10">
        <f>COUNTIF('Clean Data'!H2:H501,E13)</f>
        <v>73</v>
      </c>
      <c r="I13" s="10" t="s">
        <v>21</v>
      </c>
      <c r="J13" s="10">
        <f>COUNTIF('Clean Data'!D2:D501,"Missing")</f>
        <v>42</v>
      </c>
      <c r="K13" s="12">
        <f>J13/COUNTA('Clean Data'!A2:A501)</f>
        <v>8.4000000000000005E-2</v>
      </c>
    </row>
    <row r="14" spans="1:11" x14ac:dyDescent="0.35">
      <c r="A14" s="10" t="s">
        <v>22</v>
      </c>
      <c r="B14" s="11">
        <f>SUMIFS('Clean Data'!K2:K501,'Clean Data'!J2:J501,A14,'Clean Data'!K2:K501,"&lt;&gt;Missing")</f>
        <v>153710.17999999993</v>
      </c>
      <c r="C14" s="10">
        <f>COUNTIF('Clean Data'!J2:J501,A14)</f>
        <v>74</v>
      </c>
      <c r="E14" s="10">
        <v>2020</v>
      </c>
      <c r="F14" s="10">
        <f>COUNTIF('Clean Data'!H2:H501,E14)</f>
        <v>67</v>
      </c>
      <c r="I14" s="10" t="s">
        <v>23</v>
      </c>
      <c r="J14" s="10">
        <f>COUNTIF('Clean Data'!F2:F501,"Missing")</f>
        <v>100</v>
      </c>
      <c r="K14" s="12">
        <f>J14/COUNTA('Clean Data'!A2:A501)</f>
        <v>0.2</v>
      </c>
    </row>
    <row r="15" spans="1:11" x14ac:dyDescent="0.35">
      <c r="A15" s="10" t="s">
        <v>24</v>
      </c>
      <c r="B15" s="11">
        <f>SUMIFS('Clean Data'!K2:K501,'Clean Data'!J2:J501,A15,'Clean Data'!K2:K501,"&lt;&gt;Missing")</f>
        <v>76836.930000000008</v>
      </c>
      <c r="C15" s="10">
        <f>COUNTIF('Clean Data'!J2:J501,A15)</f>
        <v>37</v>
      </c>
      <c r="E15" s="10">
        <v>2021</v>
      </c>
      <c r="F15" s="10">
        <f>COUNTIF('Clean Data'!H2:H501,E15)</f>
        <v>75</v>
      </c>
      <c r="I15" s="10" t="s">
        <v>25</v>
      </c>
      <c r="J15" s="10">
        <f>COUNTIF('Clean Data'!I2:I501,"Missing")</f>
        <v>105</v>
      </c>
      <c r="K15" s="12">
        <f>J15/COUNTA('Clean Data'!A2:A501)</f>
        <v>0.21</v>
      </c>
    </row>
    <row r="16" spans="1:11" x14ac:dyDescent="0.35">
      <c r="A16" s="10" t="s">
        <v>26</v>
      </c>
      <c r="B16" s="11">
        <f>SUMIFS('Clean Data'!K2:K501,'Clean Data'!J2:J501,A16,'Clean Data'!K2:K501,"&lt;&gt;Missing")</f>
        <v>204066.83000000007</v>
      </c>
      <c r="C16" s="10">
        <f>COUNTIF('Clean Data'!J2:J501,A16)</f>
        <v>88</v>
      </c>
      <c r="E16" s="10">
        <v>2022</v>
      </c>
      <c r="F16" s="10">
        <f>COUNTIF('Clean Data'!H2:H501,E16)</f>
        <v>71</v>
      </c>
    </row>
    <row r="17" spans="1:6" x14ac:dyDescent="0.35">
      <c r="A17" s="10" t="s">
        <v>27</v>
      </c>
      <c r="B17" s="11">
        <f>SUMIFS('Clean Data'!K2:K501,'Clean Data'!J2:J501,A17,'Clean Data'!K2:K501,"&lt;&gt;Missing")</f>
        <v>152923.12000000002</v>
      </c>
      <c r="C17" s="10">
        <f>COUNTIF('Clean Data'!J2:J501,A17)</f>
        <v>68</v>
      </c>
      <c r="E17" s="10">
        <v>2023</v>
      </c>
      <c r="F17" s="10">
        <f>COUNTIF('Clean Data'!H2:H501,E17)</f>
        <v>72</v>
      </c>
    </row>
    <row r="18" spans="1:6" x14ac:dyDescent="0.35">
      <c r="A18" s="10" t="s">
        <v>28</v>
      </c>
      <c r="B18" s="11">
        <f>SUMIFS('Clean Data'!K2:K501,'Clean Data'!J2:J501,A18,'Clean Data'!K2:K501,"&lt;&gt;Missing")</f>
        <v>164764.52000000002</v>
      </c>
      <c r="C18" s="10">
        <f>COUNTIF('Clean Data'!J2:J501,A18)</f>
        <v>64</v>
      </c>
      <c r="E18" s="10">
        <v>2024</v>
      </c>
      <c r="F18" s="10">
        <f>COUNTIF('Clean Data'!H2:H501,E18)</f>
        <v>37</v>
      </c>
    </row>
    <row r="19" spans="1:6" x14ac:dyDescent="0.35">
      <c r="A19" s="10" t="s">
        <v>29</v>
      </c>
      <c r="B19" s="11">
        <f>SUMIFS('Clean Data'!K2:K501,'Clean Data'!J2:J501,A19,'Clean Data'!K2:K501,"&lt;&gt;Missing")</f>
        <v>265694.28000000003</v>
      </c>
      <c r="C19" s="10">
        <f>COUNTIF('Clean Data'!J2:J501,A19)</f>
        <v>115</v>
      </c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501"/>
  <sheetViews>
    <sheetView zoomScaleNormal="100" workbookViewId="0">
      <pane ySplit="1" topLeftCell="A2" activePane="bottomLeft" state="frozen"/>
      <selection pane="bottomLeft" activeCell="F10" sqref="F10"/>
    </sheetView>
  </sheetViews>
  <sheetFormatPr defaultColWidth="8.6328125" defaultRowHeight="14.5" x14ac:dyDescent="0.35"/>
  <cols>
    <col min="1" max="1" width="11.81640625" bestFit="1" customWidth="1"/>
    <col min="2" max="2" width="15.26953125" bestFit="1" customWidth="1"/>
    <col min="3" max="3" width="27.90625" bestFit="1" customWidth="1"/>
    <col min="4" max="4" width="13.36328125" bestFit="1" customWidth="1"/>
    <col min="5" max="5" width="11.6328125" bestFit="1" customWidth="1"/>
    <col min="6" max="6" width="13.36328125" bestFit="1" customWidth="1"/>
    <col min="7" max="7" width="9.08984375" bestFit="1" customWidth="1"/>
  </cols>
  <sheetData>
    <row r="1" spans="1:7" x14ac:dyDescent="0.35">
      <c r="A1" s="13" t="s">
        <v>30</v>
      </c>
      <c r="B1" s="13" t="s">
        <v>31</v>
      </c>
      <c r="C1" s="13" t="s">
        <v>21</v>
      </c>
      <c r="D1" s="13" t="s">
        <v>23</v>
      </c>
      <c r="E1" s="13" t="s">
        <v>32</v>
      </c>
      <c r="F1" s="13" t="s">
        <v>13</v>
      </c>
      <c r="G1" s="13" t="s">
        <v>33</v>
      </c>
    </row>
    <row r="2" spans="1:7" x14ac:dyDescent="0.35">
      <c r="A2" s="10" t="s">
        <v>34</v>
      </c>
      <c r="B2" s="10" t="s">
        <v>35</v>
      </c>
      <c r="C2" s="10" t="s">
        <v>36</v>
      </c>
      <c r="D2" s="10" t="s">
        <v>37</v>
      </c>
      <c r="E2" s="10" t="s">
        <v>38</v>
      </c>
      <c r="F2" s="10" t="s">
        <v>28</v>
      </c>
      <c r="G2" s="10">
        <v>3678.99</v>
      </c>
    </row>
    <row r="3" spans="1:7" x14ac:dyDescent="0.35">
      <c r="A3" s="10" t="s">
        <v>39</v>
      </c>
      <c r="B3" s="10" t="s">
        <v>40</v>
      </c>
      <c r="C3" s="10" t="s">
        <v>41</v>
      </c>
      <c r="D3" s="10" t="s">
        <v>42</v>
      </c>
      <c r="E3" s="10" t="s">
        <v>43</v>
      </c>
      <c r="F3" s="10" t="s">
        <v>20</v>
      </c>
      <c r="G3" s="10">
        <v>4753.6499999999996</v>
      </c>
    </row>
    <row r="4" spans="1:7" x14ac:dyDescent="0.35">
      <c r="A4" s="10" t="s">
        <v>44</v>
      </c>
      <c r="B4" s="10" t="s">
        <v>45</v>
      </c>
      <c r="C4" s="10" t="s">
        <v>46</v>
      </c>
      <c r="D4" s="10" t="s">
        <v>41</v>
      </c>
      <c r="E4" s="10" t="s">
        <v>47</v>
      </c>
      <c r="F4" s="10" t="s">
        <v>28</v>
      </c>
      <c r="G4" s="10">
        <v>2682.49</v>
      </c>
    </row>
    <row r="5" spans="1:7" x14ac:dyDescent="0.35">
      <c r="A5" s="10" t="s">
        <v>48</v>
      </c>
      <c r="B5" s="10" t="s">
        <v>49</v>
      </c>
      <c r="C5" s="10" t="s">
        <v>50</v>
      </c>
      <c r="D5" s="10" t="s">
        <v>51</v>
      </c>
      <c r="E5" s="10" t="s">
        <v>41</v>
      </c>
      <c r="F5" s="10" t="s">
        <v>29</v>
      </c>
      <c r="G5" s="10">
        <v>2195.69</v>
      </c>
    </row>
    <row r="6" spans="1:7" x14ac:dyDescent="0.35">
      <c r="A6" s="10" t="s">
        <v>52</v>
      </c>
      <c r="B6" s="10" t="s">
        <v>53</v>
      </c>
      <c r="C6" s="10" t="s">
        <v>54</v>
      </c>
      <c r="D6" s="10" t="s">
        <v>55</v>
      </c>
      <c r="E6" s="10" t="s">
        <v>56</v>
      </c>
      <c r="F6" s="10" t="s">
        <v>26</v>
      </c>
      <c r="G6" s="10">
        <v>3809</v>
      </c>
    </row>
    <row r="7" spans="1:7" x14ac:dyDescent="0.35">
      <c r="A7" s="10" t="s">
        <v>57</v>
      </c>
      <c r="B7" s="10" t="s">
        <v>58</v>
      </c>
      <c r="C7" s="10" t="s">
        <v>59</v>
      </c>
      <c r="D7" s="10" t="s">
        <v>60</v>
      </c>
      <c r="E7" s="10" t="s">
        <v>61</v>
      </c>
      <c r="F7" s="10" t="s">
        <v>24</v>
      </c>
      <c r="G7" s="10">
        <v>1015.52</v>
      </c>
    </row>
    <row r="8" spans="1:7" x14ac:dyDescent="0.35">
      <c r="A8" s="10" t="s">
        <v>62</v>
      </c>
      <c r="B8" s="10" t="s">
        <v>63</v>
      </c>
      <c r="C8" s="10" t="s">
        <v>64</v>
      </c>
      <c r="D8" s="10" t="s">
        <v>41</v>
      </c>
      <c r="E8" s="10" t="s">
        <v>65</v>
      </c>
      <c r="F8" s="10" t="s">
        <v>26</v>
      </c>
      <c r="G8" s="10">
        <v>3931.66</v>
      </c>
    </row>
    <row r="9" spans="1:7" x14ac:dyDescent="0.35">
      <c r="A9" s="10" t="s">
        <v>66</v>
      </c>
      <c r="B9" s="10" t="s">
        <v>67</v>
      </c>
      <c r="C9" s="10" t="s">
        <v>41</v>
      </c>
      <c r="D9" s="10" t="s">
        <v>41</v>
      </c>
      <c r="E9" s="10" t="s">
        <v>68</v>
      </c>
      <c r="F9" s="10" t="s">
        <v>28</v>
      </c>
      <c r="G9" s="10">
        <v>3514.72</v>
      </c>
    </row>
    <row r="10" spans="1:7" x14ac:dyDescent="0.35">
      <c r="A10" s="10" t="s">
        <v>69</v>
      </c>
      <c r="B10" s="10" t="s">
        <v>70</v>
      </c>
      <c r="C10" s="10" t="s">
        <v>71</v>
      </c>
      <c r="D10" s="10" t="s">
        <v>72</v>
      </c>
      <c r="E10" s="10" t="s">
        <v>73</v>
      </c>
      <c r="F10" s="10" t="s">
        <v>20</v>
      </c>
      <c r="G10" s="10">
        <v>3687.78</v>
      </c>
    </row>
    <row r="11" spans="1:7" x14ac:dyDescent="0.35">
      <c r="A11" s="10" t="s">
        <v>74</v>
      </c>
      <c r="B11" s="10" t="s">
        <v>75</v>
      </c>
      <c r="C11" s="10" t="s">
        <v>76</v>
      </c>
      <c r="D11" s="10" t="s">
        <v>77</v>
      </c>
      <c r="E11" s="10" t="s">
        <v>78</v>
      </c>
      <c r="F11" s="10" t="s">
        <v>26</v>
      </c>
      <c r="G11" s="10">
        <v>4616.26</v>
      </c>
    </row>
    <row r="12" spans="1:7" x14ac:dyDescent="0.35">
      <c r="A12" s="10" t="s">
        <v>79</v>
      </c>
      <c r="B12" s="10" t="s">
        <v>80</v>
      </c>
      <c r="C12" s="10" t="s">
        <v>81</v>
      </c>
      <c r="D12" s="10" t="s">
        <v>82</v>
      </c>
      <c r="E12" s="10" t="s">
        <v>83</v>
      </c>
      <c r="F12" s="10" t="s">
        <v>29</v>
      </c>
      <c r="G12" s="10">
        <v>4067.24</v>
      </c>
    </row>
    <row r="13" spans="1:7" x14ac:dyDescent="0.35">
      <c r="A13" s="10" t="s">
        <v>84</v>
      </c>
      <c r="B13" s="10" t="s">
        <v>85</v>
      </c>
      <c r="C13" s="10" t="s">
        <v>86</v>
      </c>
      <c r="D13" s="10" t="s">
        <v>87</v>
      </c>
      <c r="E13" s="10" t="s">
        <v>41</v>
      </c>
      <c r="F13" s="10" t="s">
        <v>20</v>
      </c>
      <c r="G13" s="10">
        <v>1352.31</v>
      </c>
    </row>
    <row r="14" spans="1:7" x14ac:dyDescent="0.35">
      <c r="A14" s="10" t="s">
        <v>88</v>
      </c>
      <c r="B14" s="10" t="s">
        <v>89</v>
      </c>
      <c r="C14" s="10" t="s">
        <v>90</v>
      </c>
      <c r="D14" s="10" t="s">
        <v>91</v>
      </c>
      <c r="E14" s="10" t="s">
        <v>92</v>
      </c>
      <c r="F14" s="10" t="s">
        <v>29</v>
      </c>
      <c r="G14" s="10">
        <v>850.66</v>
      </c>
    </row>
    <row r="15" spans="1:7" x14ac:dyDescent="0.35">
      <c r="A15" s="10" t="s">
        <v>93</v>
      </c>
      <c r="B15" s="10" t="s">
        <v>94</v>
      </c>
      <c r="C15" s="10" t="s">
        <v>95</v>
      </c>
      <c r="D15" s="10" t="s">
        <v>41</v>
      </c>
      <c r="E15" s="10" t="s">
        <v>41</v>
      </c>
      <c r="F15" s="10" t="s">
        <v>28</v>
      </c>
      <c r="G15" s="10">
        <v>4201</v>
      </c>
    </row>
    <row r="16" spans="1:7" x14ac:dyDescent="0.35">
      <c r="A16" s="10" t="s">
        <v>96</v>
      </c>
      <c r="B16" s="10" t="s">
        <v>97</v>
      </c>
      <c r="C16" s="10" t="s">
        <v>98</v>
      </c>
      <c r="D16" s="10" t="s">
        <v>99</v>
      </c>
      <c r="E16" s="10" t="s">
        <v>41</v>
      </c>
      <c r="F16" s="10" t="s">
        <v>28</v>
      </c>
      <c r="G16" s="10">
        <v>308.62</v>
      </c>
    </row>
    <row r="17" spans="1:7" x14ac:dyDescent="0.35">
      <c r="A17" s="10" t="s">
        <v>100</v>
      </c>
      <c r="B17" s="10" t="s">
        <v>101</v>
      </c>
      <c r="C17" s="10" t="s">
        <v>41</v>
      </c>
      <c r="D17" s="10" t="s">
        <v>102</v>
      </c>
      <c r="E17" s="10" t="s">
        <v>103</v>
      </c>
      <c r="F17" s="10" t="s">
        <v>28</v>
      </c>
      <c r="G17" s="10">
        <v>4598.21</v>
      </c>
    </row>
    <row r="18" spans="1:7" x14ac:dyDescent="0.35">
      <c r="A18" s="10" t="s">
        <v>104</v>
      </c>
      <c r="B18" s="10" t="s">
        <v>105</v>
      </c>
      <c r="C18" s="10" t="s">
        <v>106</v>
      </c>
      <c r="D18" s="10" t="s">
        <v>107</v>
      </c>
      <c r="E18" s="10" t="s">
        <v>108</v>
      </c>
      <c r="F18" s="10" t="s">
        <v>26</v>
      </c>
      <c r="G18" s="10">
        <v>2007</v>
      </c>
    </row>
    <row r="19" spans="1:7" x14ac:dyDescent="0.35">
      <c r="A19" s="10" t="s">
        <v>109</v>
      </c>
      <c r="B19" s="10" t="s">
        <v>110</v>
      </c>
      <c r="C19" s="10" t="s">
        <v>111</v>
      </c>
      <c r="D19" s="10" t="s">
        <v>112</v>
      </c>
      <c r="E19" s="10" t="s">
        <v>41</v>
      </c>
      <c r="F19" s="10" t="s">
        <v>27</v>
      </c>
      <c r="G19" s="10">
        <v>4576.83</v>
      </c>
    </row>
    <row r="20" spans="1:7" x14ac:dyDescent="0.35">
      <c r="A20" s="10" t="s">
        <v>113</v>
      </c>
      <c r="B20" s="10" t="s">
        <v>114</v>
      </c>
      <c r="C20" s="10" t="s">
        <v>41</v>
      </c>
      <c r="D20" s="10" t="s">
        <v>115</v>
      </c>
      <c r="E20" s="10" t="s">
        <v>116</v>
      </c>
      <c r="F20" s="10" t="s">
        <v>27</v>
      </c>
      <c r="G20" s="10">
        <v>620.95000000000005</v>
      </c>
    </row>
    <row r="21" spans="1:7" x14ac:dyDescent="0.35">
      <c r="A21" s="10" t="s">
        <v>117</v>
      </c>
      <c r="B21" s="10" t="s">
        <v>70</v>
      </c>
      <c r="C21" s="10" t="s">
        <v>118</v>
      </c>
      <c r="D21" s="10" t="s">
        <v>119</v>
      </c>
      <c r="E21" s="10" t="s">
        <v>41</v>
      </c>
      <c r="F21" s="10" t="s">
        <v>22</v>
      </c>
      <c r="G21" s="10">
        <v>2807.72</v>
      </c>
    </row>
    <row r="22" spans="1:7" x14ac:dyDescent="0.35">
      <c r="A22" s="10" t="s">
        <v>120</v>
      </c>
      <c r="B22" s="10" t="s">
        <v>121</v>
      </c>
      <c r="C22" s="10" t="s">
        <v>122</v>
      </c>
      <c r="D22" s="10" t="s">
        <v>123</v>
      </c>
      <c r="E22" s="10" t="s">
        <v>124</v>
      </c>
      <c r="F22" s="10" t="s">
        <v>20</v>
      </c>
      <c r="G22" s="10">
        <v>0</v>
      </c>
    </row>
    <row r="23" spans="1:7" x14ac:dyDescent="0.35">
      <c r="A23" s="10" t="s">
        <v>125</v>
      </c>
      <c r="B23" s="10" t="s">
        <v>126</v>
      </c>
      <c r="C23" s="10" t="s">
        <v>127</v>
      </c>
      <c r="D23" s="10" t="s">
        <v>128</v>
      </c>
      <c r="E23" s="10" t="s">
        <v>129</v>
      </c>
      <c r="F23" s="10" t="s">
        <v>29</v>
      </c>
      <c r="G23" s="10">
        <v>588.14</v>
      </c>
    </row>
    <row r="24" spans="1:7" x14ac:dyDescent="0.35">
      <c r="A24" s="10" t="s">
        <v>130</v>
      </c>
      <c r="B24" s="10" t="s">
        <v>131</v>
      </c>
      <c r="C24" s="10" t="s">
        <v>132</v>
      </c>
      <c r="D24" s="10" t="s">
        <v>133</v>
      </c>
      <c r="E24" s="10" t="s">
        <v>134</v>
      </c>
      <c r="F24" s="10" t="s">
        <v>26</v>
      </c>
      <c r="G24" s="10">
        <v>649.17999999999995</v>
      </c>
    </row>
    <row r="25" spans="1:7" x14ac:dyDescent="0.35">
      <c r="A25" s="10" t="s">
        <v>135</v>
      </c>
      <c r="B25" s="10" t="s">
        <v>136</v>
      </c>
      <c r="C25" s="10" t="s">
        <v>137</v>
      </c>
      <c r="D25" s="10" t="s">
        <v>41</v>
      </c>
      <c r="E25" s="10" t="s">
        <v>138</v>
      </c>
      <c r="F25" s="10" t="s">
        <v>22</v>
      </c>
      <c r="G25" s="10">
        <v>1847.86</v>
      </c>
    </row>
    <row r="26" spans="1:7" x14ac:dyDescent="0.35">
      <c r="A26" s="10" t="s">
        <v>104</v>
      </c>
      <c r="B26" s="10" t="s">
        <v>105</v>
      </c>
      <c r="C26" s="10" t="s">
        <v>106</v>
      </c>
      <c r="D26" s="10" t="s">
        <v>107</v>
      </c>
      <c r="E26" s="10" t="s">
        <v>108</v>
      </c>
      <c r="F26" s="10" t="s">
        <v>26</v>
      </c>
      <c r="G26" s="10">
        <v>2007</v>
      </c>
    </row>
    <row r="27" spans="1:7" x14ac:dyDescent="0.35">
      <c r="A27" s="10" t="s">
        <v>139</v>
      </c>
      <c r="B27" s="10" t="s">
        <v>140</v>
      </c>
      <c r="C27" s="10" t="s">
        <v>141</v>
      </c>
      <c r="D27" s="10" t="s">
        <v>142</v>
      </c>
      <c r="E27" s="10" t="s">
        <v>143</v>
      </c>
      <c r="F27" s="10" t="s">
        <v>24</v>
      </c>
      <c r="G27" s="10">
        <v>4634.43</v>
      </c>
    </row>
    <row r="28" spans="1:7" x14ac:dyDescent="0.35">
      <c r="A28" s="10" t="s">
        <v>144</v>
      </c>
      <c r="B28" s="10" t="s">
        <v>145</v>
      </c>
      <c r="C28" s="10" t="s">
        <v>146</v>
      </c>
      <c r="D28" s="10" t="s">
        <v>147</v>
      </c>
      <c r="E28" s="10" t="s">
        <v>148</v>
      </c>
      <c r="F28" s="10" t="s">
        <v>26</v>
      </c>
      <c r="G28" s="10">
        <v>3977.1</v>
      </c>
    </row>
    <row r="29" spans="1:7" x14ac:dyDescent="0.35">
      <c r="A29" s="10" t="s">
        <v>149</v>
      </c>
      <c r="B29" s="10" t="s">
        <v>150</v>
      </c>
      <c r="C29" s="10" t="s">
        <v>151</v>
      </c>
      <c r="D29" s="10" t="s">
        <v>152</v>
      </c>
      <c r="E29" s="10" t="s">
        <v>153</v>
      </c>
      <c r="F29" s="10" t="s">
        <v>29</v>
      </c>
      <c r="G29" s="10">
        <v>2462.79</v>
      </c>
    </row>
    <row r="30" spans="1:7" x14ac:dyDescent="0.35">
      <c r="A30" s="10" t="s">
        <v>154</v>
      </c>
      <c r="B30" s="10" t="s">
        <v>155</v>
      </c>
      <c r="C30" s="10" t="s">
        <v>156</v>
      </c>
      <c r="D30" s="10" t="s">
        <v>157</v>
      </c>
      <c r="E30" s="10" t="s">
        <v>158</v>
      </c>
      <c r="F30" s="10" t="s">
        <v>29</v>
      </c>
      <c r="G30" s="10">
        <v>1844.95</v>
      </c>
    </row>
    <row r="31" spans="1:7" x14ac:dyDescent="0.35">
      <c r="A31" s="10" t="s">
        <v>159</v>
      </c>
      <c r="B31" s="10" t="s">
        <v>160</v>
      </c>
      <c r="C31" s="10" t="s">
        <v>161</v>
      </c>
      <c r="D31" s="10" t="s">
        <v>162</v>
      </c>
      <c r="E31" s="10" t="s">
        <v>41</v>
      </c>
      <c r="F31" s="10" t="s">
        <v>27</v>
      </c>
      <c r="G31" s="10">
        <v>4826.33</v>
      </c>
    </row>
    <row r="32" spans="1:7" x14ac:dyDescent="0.35">
      <c r="A32" s="10" t="s">
        <v>163</v>
      </c>
      <c r="B32" s="10" t="s">
        <v>164</v>
      </c>
      <c r="C32" s="10" t="s">
        <v>165</v>
      </c>
      <c r="D32" s="10" t="s">
        <v>166</v>
      </c>
      <c r="E32" s="10" t="s">
        <v>167</v>
      </c>
      <c r="F32" s="10" t="s">
        <v>22</v>
      </c>
      <c r="G32" s="10">
        <v>4966.66</v>
      </c>
    </row>
    <row r="33" spans="1:7" x14ac:dyDescent="0.35">
      <c r="A33" s="10" t="s">
        <v>168</v>
      </c>
      <c r="B33" s="10" t="s">
        <v>105</v>
      </c>
      <c r="C33" s="10" t="s">
        <v>169</v>
      </c>
      <c r="D33" s="10" t="s">
        <v>170</v>
      </c>
      <c r="E33" s="10" t="s">
        <v>171</v>
      </c>
      <c r="F33" s="10" t="s">
        <v>20</v>
      </c>
      <c r="G33" s="10">
        <v>2119.75</v>
      </c>
    </row>
    <row r="34" spans="1:7" x14ac:dyDescent="0.35">
      <c r="A34" s="10" t="s">
        <v>172</v>
      </c>
      <c r="B34" s="10" t="s">
        <v>173</v>
      </c>
      <c r="C34" s="10" t="s">
        <v>174</v>
      </c>
      <c r="D34" s="10" t="s">
        <v>41</v>
      </c>
      <c r="E34" s="10" t="s">
        <v>175</v>
      </c>
      <c r="F34" s="10" t="s">
        <v>26</v>
      </c>
      <c r="G34" s="10">
        <v>1627.89</v>
      </c>
    </row>
    <row r="35" spans="1:7" x14ac:dyDescent="0.35">
      <c r="A35" s="10" t="s">
        <v>176</v>
      </c>
      <c r="B35" s="10" t="s">
        <v>177</v>
      </c>
      <c r="C35" s="10" t="s">
        <v>178</v>
      </c>
      <c r="D35" s="10" t="s">
        <v>179</v>
      </c>
      <c r="E35" s="10" t="s">
        <v>180</v>
      </c>
      <c r="F35" s="10" t="s">
        <v>20</v>
      </c>
      <c r="G35" s="10">
        <v>4315</v>
      </c>
    </row>
    <row r="36" spans="1:7" x14ac:dyDescent="0.35">
      <c r="A36" s="10" t="s">
        <v>181</v>
      </c>
      <c r="B36" s="10" t="s">
        <v>182</v>
      </c>
      <c r="C36" s="10" t="s">
        <v>183</v>
      </c>
      <c r="D36" s="10" t="s">
        <v>184</v>
      </c>
      <c r="E36" s="10" t="s">
        <v>185</v>
      </c>
      <c r="F36" s="10" t="s">
        <v>22</v>
      </c>
      <c r="G36" s="10">
        <v>1512.26</v>
      </c>
    </row>
    <row r="37" spans="1:7" x14ac:dyDescent="0.35">
      <c r="A37" s="10" t="s">
        <v>186</v>
      </c>
      <c r="B37" s="10" t="s">
        <v>94</v>
      </c>
      <c r="C37" s="10" t="s">
        <v>187</v>
      </c>
      <c r="D37" s="10" t="s">
        <v>188</v>
      </c>
      <c r="E37" s="10" t="s">
        <v>189</v>
      </c>
      <c r="F37" s="10" t="s">
        <v>28</v>
      </c>
      <c r="G37" s="10">
        <v>3814.64</v>
      </c>
    </row>
    <row r="38" spans="1:7" x14ac:dyDescent="0.35">
      <c r="A38" s="10" t="s">
        <v>190</v>
      </c>
      <c r="B38" s="10" t="s">
        <v>191</v>
      </c>
      <c r="C38" s="10" t="s">
        <v>192</v>
      </c>
      <c r="D38" s="10" t="s">
        <v>193</v>
      </c>
      <c r="E38" s="10" t="s">
        <v>41</v>
      </c>
      <c r="F38" s="10" t="s">
        <v>26</v>
      </c>
      <c r="G38" s="10">
        <v>2494.65</v>
      </c>
    </row>
    <row r="39" spans="1:7" x14ac:dyDescent="0.35">
      <c r="A39" s="10" t="s">
        <v>194</v>
      </c>
      <c r="B39" s="10" t="s">
        <v>195</v>
      </c>
      <c r="C39" s="10" t="s">
        <v>196</v>
      </c>
      <c r="D39" s="10" t="s">
        <v>41</v>
      </c>
      <c r="E39" s="10" t="s">
        <v>197</v>
      </c>
      <c r="F39" s="10" t="s">
        <v>27</v>
      </c>
      <c r="G39" s="10">
        <v>4523.75</v>
      </c>
    </row>
    <row r="40" spans="1:7" x14ac:dyDescent="0.35">
      <c r="A40" s="10" t="s">
        <v>198</v>
      </c>
      <c r="B40" s="10" t="s">
        <v>199</v>
      </c>
      <c r="C40" s="10" t="s">
        <v>200</v>
      </c>
      <c r="D40" s="10" t="s">
        <v>201</v>
      </c>
      <c r="E40" s="10" t="s">
        <v>202</v>
      </c>
      <c r="F40" s="10" t="s">
        <v>29</v>
      </c>
      <c r="G40" s="10">
        <v>301</v>
      </c>
    </row>
    <row r="41" spans="1:7" x14ac:dyDescent="0.35">
      <c r="A41" s="10" t="s">
        <v>203</v>
      </c>
      <c r="B41" s="10" t="s">
        <v>204</v>
      </c>
      <c r="C41" s="10" t="s">
        <v>205</v>
      </c>
      <c r="D41" s="10" t="s">
        <v>206</v>
      </c>
      <c r="E41" s="10" t="s">
        <v>41</v>
      </c>
      <c r="F41" s="10" t="s">
        <v>26</v>
      </c>
      <c r="G41" s="10">
        <v>2575.12</v>
      </c>
    </row>
    <row r="42" spans="1:7" x14ac:dyDescent="0.35">
      <c r="A42" s="10" t="s">
        <v>207</v>
      </c>
      <c r="B42" s="10" t="s">
        <v>208</v>
      </c>
      <c r="C42" s="10" t="s">
        <v>209</v>
      </c>
      <c r="D42" s="10" t="s">
        <v>210</v>
      </c>
      <c r="E42" s="10" t="s">
        <v>41</v>
      </c>
      <c r="F42" s="10" t="s">
        <v>22</v>
      </c>
      <c r="G42" s="10">
        <v>2906.1</v>
      </c>
    </row>
    <row r="43" spans="1:7" x14ac:dyDescent="0.35">
      <c r="A43" s="10" t="s">
        <v>211</v>
      </c>
      <c r="B43" s="10" t="s">
        <v>212</v>
      </c>
      <c r="C43" s="10" t="s">
        <v>213</v>
      </c>
      <c r="D43" s="10" t="s">
        <v>214</v>
      </c>
      <c r="E43" s="10" t="s">
        <v>215</v>
      </c>
      <c r="F43" s="10" t="s">
        <v>22</v>
      </c>
      <c r="G43" s="10">
        <v>3382.95</v>
      </c>
    </row>
    <row r="44" spans="1:7" x14ac:dyDescent="0.35">
      <c r="A44" s="10" t="s">
        <v>216</v>
      </c>
      <c r="B44" s="10" t="s">
        <v>80</v>
      </c>
      <c r="C44" s="10" t="s">
        <v>217</v>
      </c>
      <c r="D44" s="10" t="s">
        <v>41</v>
      </c>
      <c r="E44" s="10" t="s">
        <v>218</v>
      </c>
      <c r="F44" s="10" t="s">
        <v>24</v>
      </c>
      <c r="G44" s="10">
        <v>1497.55</v>
      </c>
    </row>
    <row r="45" spans="1:7" x14ac:dyDescent="0.35">
      <c r="A45" s="10" t="s">
        <v>219</v>
      </c>
      <c r="B45" s="10" t="s">
        <v>220</v>
      </c>
      <c r="C45" s="10" t="s">
        <v>221</v>
      </c>
      <c r="D45" s="10" t="s">
        <v>222</v>
      </c>
      <c r="E45" s="10" t="s">
        <v>223</v>
      </c>
      <c r="F45" s="10" t="s">
        <v>22</v>
      </c>
      <c r="G45" s="10">
        <v>2833.54</v>
      </c>
    </row>
    <row r="46" spans="1:7" x14ac:dyDescent="0.35">
      <c r="A46" s="10" t="s">
        <v>224</v>
      </c>
      <c r="B46" s="10" t="s">
        <v>225</v>
      </c>
      <c r="C46" s="10" t="s">
        <v>226</v>
      </c>
      <c r="D46" s="10" t="s">
        <v>227</v>
      </c>
      <c r="E46" s="10" t="s">
        <v>228</v>
      </c>
      <c r="F46" s="10" t="s">
        <v>29</v>
      </c>
      <c r="G46" s="10">
        <v>4862.1899999999996</v>
      </c>
    </row>
    <row r="47" spans="1:7" x14ac:dyDescent="0.35">
      <c r="A47" s="10" t="s">
        <v>229</v>
      </c>
      <c r="B47" s="10" t="s">
        <v>230</v>
      </c>
      <c r="C47" s="10" t="s">
        <v>231</v>
      </c>
      <c r="D47" s="10" t="s">
        <v>232</v>
      </c>
      <c r="E47" s="10" t="s">
        <v>41</v>
      </c>
      <c r="F47" s="10" t="s">
        <v>27</v>
      </c>
      <c r="G47" s="10">
        <v>1633.18</v>
      </c>
    </row>
    <row r="48" spans="1:7" x14ac:dyDescent="0.35">
      <c r="A48" s="10" t="s">
        <v>233</v>
      </c>
      <c r="B48" s="10" t="s">
        <v>234</v>
      </c>
      <c r="C48" s="10" t="s">
        <v>235</v>
      </c>
      <c r="D48" s="10" t="s">
        <v>236</v>
      </c>
      <c r="E48" s="10" t="s">
        <v>237</v>
      </c>
      <c r="F48" s="10" t="s">
        <v>27</v>
      </c>
      <c r="G48" s="10">
        <v>4001.19</v>
      </c>
    </row>
    <row r="49" spans="1:7" x14ac:dyDescent="0.35">
      <c r="A49" s="10" t="s">
        <v>207</v>
      </c>
      <c r="B49" s="10" t="s">
        <v>208</v>
      </c>
      <c r="C49" s="10" t="s">
        <v>209</v>
      </c>
      <c r="D49" s="10" t="s">
        <v>210</v>
      </c>
      <c r="E49" s="10" t="s">
        <v>41</v>
      </c>
      <c r="F49" s="10" t="s">
        <v>22</v>
      </c>
      <c r="G49" s="10">
        <v>2906.1</v>
      </c>
    </row>
    <row r="50" spans="1:7" x14ac:dyDescent="0.35">
      <c r="A50" s="10" t="s">
        <v>238</v>
      </c>
      <c r="B50" s="10" t="s">
        <v>239</v>
      </c>
      <c r="C50" s="10" t="s">
        <v>240</v>
      </c>
      <c r="D50" s="10" t="s">
        <v>241</v>
      </c>
      <c r="E50" s="10" t="s">
        <v>41</v>
      </c>
      <c r="F50" s="10" t="s">
        <v>27</v>
      </c>
      <c r="G50" s="10">
        <v>2263.44</v>
      </c>
    </row>
    <row r="51" spans="1:7" x14ac:dyDescent="0.35">
      <c r="A51" s="10" t="s">
        <v>242</v>
      </c>
      <c r="B51" s="10" t="s">
        <v>131</v>
      </c>
      <c r="C51" s="10" t="s">
        <v>243</v>
      </c>
      <c r="D51" s="10" t="s">
        <v>244</v>
      </c>
      <c r="E51" s="10" t="s">
        <v>41</v>
      </c>
      <c r="F51" s="10" t="s">
        <v>26</v>
      </c>
      <c r="G51" s="10">
        <v>142.91999999999999</v>
      </c>
    </row>
    <row r="52" spans="1:7" x14ac:dyDescent="0.35">
      <c r="A52" s="10" t="s">
        <v>245</v>
      </c>
      <c r="B52" s="10" t="s">
        <v>246</v>
      </c>
      <c r="C52" s="10" t="s">
        <v>247</v>
      </c>
      <c r="D52" s="10" t="s">
        <v>248</v>
      </c>
      <c r="E52" s="10" t="s">
        <v>41</v>
      </c>
      <c r="F52" s="10" t="s">
        <v>26</v>
      </c>
      <c r="G52" s="10">
        <v>3241.26</v>
      </c>
    </row>
    <row r="53" spans="1:7" x14ac:dyDescent="0.35">
      <c r="A53" s="10" t="s">
        <v>249</v>
      </c>
      <c r="B53" s="10" t="s">
        <v>220</v>
      </c>
      <c r="C53" s="10" t="s">
        <v>250</v>
      </c>
      <c r="D53" s="10" t="s">
        <v>41</v>
      </c>
      <c r="E53" s="10" t="s">
        <v>251</v>
      </c>
      <c r="F53" s="10" t="s">
        <v>26</v>
      </c>
      <c r="G53" s="10">
        <v>877.85</v>
      </c>
    </row>
    <row r="54" spans="1:7" x14ac:dyDescent="0.35">
      <c r="A54" s="10" t="s">
        <v>252</v>
      </c>
      <c r="B54" s="10" t="s">
        <v>253</v>
      </c>
      <c r="C54" s="10" t="s">
        <v>41</v>
      </c>
      <c r="D54" s="10" t="s">
        <v>254</v>
      </c>
      <c r="E54" s="10" t="s">
        <v>255</v>
      </c>
      <c r="F54" s="10" t="s">
        <v>22</v>
      </c>
      <c r="G54" s="10">
        <v>2991.92</v>
      </c>
    </row>
    <row r="55" spans="1:7" x14ac:dyDescent="0.35">
      <c r="A55" s="10" t="s">
        <v>256</v>
      </c>
      <c r="B55" s="10" t="s">
        <v>257</v>
      </c>
      <c r="C55" s="10" t="s">
        <v>258</v>
      </c>
      <c r="D55" s="10" t="s">
        <v>259</v>
      </c>
      <c r="E55" s="10" t="s">
        <v>260</v>
      </c>
      <c r="F55" s="10" t="s">
        <v>27</v>
      </c>
      <c r="G55" s="10">
        <v>4593.6899999999996</v>
      </c>
    </row>
    <row r="56" spans="1:7" x14ac:dyDescent="0.35">
      <c r="A56" s="10" t="s">
        <v>261</v>
      </c>
      <c r="B56" s="10" t="s">
        <v>262</v>
      </c>
      <c r="C56" s="10" t="s">
        <v>263</v>
      </c>
      <c r="D56" s="10" t="s">
        <v>264</v>
      </c>
      <c r="E56" s="10" t="s">
        <v>265</v>
      </c>
      <c r="F56" s="10" t="s">
        <v>26</v>
      </c>
      <c r="G56" s="10">
        <v>2237</v>
      </c>
    </row>
    <row r="57" spans="1:7" x14ac:dyDescent="0.35">
      <c r="A57" s="10" t="s">
        <v>266</v>
      </c>
      <c r="B57" s="10" t="s">
        <v>45</v>
      </c>
      <c r="C57" s="10" t="s">
        <v>267</v>
      </c>
      <c r="D57" s="10" t="s">
        <v>268</v>
      </c>
      <c r="E57" s="10" t="s">
        <v>269</v>
      </c>
      <c r="F57" s="10" t="s">
        <v>22</v>
      </c>
      <c r="G57" s="10">
        <v>0</v>
      </c>
    </row>
    <row r="58" spans="1:7" x14ac:dyDescent="0.35">
      <c r="A58" s="10" t="s">
        <v>270</v>
      </c>
      <c r="B58" s="10" t="s">
        <v>155</v>
      </c>
      <c r="C58" s="10" t="s">
        <v>271</v>
      </c>
      <c r="D58" s="10" t="s">
        <v>272</v>
      </c>
      <c r="E58" s="10" t="s">
        <v>273</v>
      </c>
      <c r="F58" s="10" t="s">
        <v>22</v>
      </c>
      <c r="G58" s="10">
        <v>4438.82</v>
      </c>
    </row>
    <row r="59" spans="1:7" x14ac:dyDescent="0.35">
      <c r="A59" s="10" t="s">
        <v>274</v>
      </c>
      <c r="B59" s="10" t="s">
        <v>275</v>
      </c>
      <c r="C59" s="10" t="s">
        <v>276</v>
      </c>
      <c r="D59" s="10" t="s">
        <v>277</v>
      </c>
      <c r="E59" s="10" t="s">
        <v>278</v>
      </c>
      <c r="F59" s="10" t="s">
        <v>29</v>
      </c>
      <c r="G59" s="10">
        <v>0</v>
      </c>
    </row>
    <row r="60" spans="1:7" x14ac:dyDescent="0.35">
      <c r="A60" s="10" t="s">
        <v>176</v>
      </c>
      <c r="B60" s="10" t="s">
        <v>177</v>
      </c>
      <c r="C60" s="10" t="s">
        <v>178</v>
      </c>
      <c r="D60" s="10" t="s">
        <v>179</v>
      </c>
      <c r="E60" s="10" t="s">
        <v>180</v>
      </c>
      <c r="F60" s="10" t="s">
        <v>20</v>
      </c>
      <c r="G60" s="10">
        <v>4315</v>
      </c>
    </row>
    <row r="61" spans="1:7" x14ac:dyDescent="0.35">
      <c r="A61" s="10" t="s">
        <v>279</v>
      </c>
      <c r="B61" s="10" t="s">
        <v>173</v>
      </c>
      <c r="C61" s="10" t="s">
        <v>280</v>
      </c>
      <c r="D61" s="10" t="s">
        <v>281</v>
      </c>
      <c r="E61" s="10" t="s">
        <v>282</v>
      </c>
      <c r="F61" s="10" t="s">
        <v>26</v>
      </c>
      <c r="G61" s="10">
        <v>229</v>
      </c>
    </row>
    <row r="62" spans="1:7" x14ac:dyDescent="0.35">
      <c r="A62" s="10" t="s">
        <v>283</v>
      </c>
      <c r="B62" s="10" t="s">
        <v>45</v>
      </c>
      <c r="C62" s="10" t="s">
        <v>284</v>
      </c>
      <c r="D62" s="10" t="s">
        <v>285</v>
      </c>
      <c r="E62" s="10" t="s">
        <v>286</v>
      </c>
      <c r="F62" s="10" t="s">
        <v>20</v>
      </c>
      <c r="G62" s="10">
        <v>1385.07</v>
      </c>
    </row>
    <row r="63" spans="1:7" x14ac:dyDescent="0.35">
      <c r="A63" s="10" t="s">
        <v>287</v>
      </c>
      <c r="B63" s="10" t="s">
        <v>288</v>
      </c>
      <c r="C63" s="10" t="s">
        <v>289</v>
      </c>
      <c r="D63" s="10" t="s">
        <v>290</v>
      </c>
      <c r="E63" s="10" t="s">
        <v>291</v>
      </c>
      <c r="F63" s="10" t="s">
        <v>29</v>
      </c>
      <c r="G63" s="10">
        <v>2490.41</v>
      </c>
    </row>
    <row r="64" spans="1:7" x14ac:dyDescent="0.35">
      <c r="A64" s="10" t="s">
        <v>292</v>
      </c>
      <c r="B64" s="10" t="s">
        <v>293</v>
      </c>
      <c r="C64" s="10" t="s">
        <v>294</v>
      </c>
      <c r="D64" s="10" t="s">
        <v>295</v>
      </c>
      <c r="E64" s="10" t="s">
        <v>296</v>
      </c>
      <c r="F64" s="10" t="s">
        <v>29</v>
      </c>
      <c r="G64" s="10">
        <v>0</v>
      </c>
    </row>
    <row r="65" spans="1:7" x14ac:dyDescent="0.35">
      <c r="A65" s="10" t="s">
        <v>297</v>
      </c>
      <c r="B65" s="10" t="s">
        <v>298</v>
      </c>
      <c r="C65" s="10" t="s">
        <v>299</v>
      </c>
      <c r="D65" s="10" t="s">
        <v>300</v>
      </c>
      <c r="E65" s="10" t="s">
        <v>301</v>
      </c>
      <c r="F65" s="10" t="s">
        <v>27</v>
      </c>
      <c r="G65" s="10">
        <v>-1985</v>
      </c>
    </row>
    <row r="66" spans="1:7" x14ac:dyDescent="0.35">
      <c r="A66" s="10" t="s">
        <v>302</v>
      </c>
      <c r="B66" s="10" t="s">
        <v>303</v>
      </c>
      <c r="C66" s="10" t="s">
        <v>304</v>
      </c>
      <c r="D66" s="10" t="s">
        <v>305</v>
      </c>
      <c r="E66" s="10" t="s">
        <v>306</v>
      </c>
      <c r="F66" s="10" t="s">
        <v>29</v>
      </c>
      <c r="G66" s="10">
        <v>363.87</v>
      </c>
    </row>
    <row r="67" spans="1:7" x14ac:dyDescent="0.35">
      <c r="A67" s="10" t="s">
        <v>307</v>
      </c>
      <c r="B67" s="10" t="s">
        <v>308</v>
      </c>
      <c r="C67" s="10" t="s">
        <v>309</v>
      </c>
      <c r="D67" s="10" t="s">
        <v>310</v>
      </c>
      <c r="E67" s="10" t="s">
        <v>311</v>
      </c>
      <c r="F67" s="10" t="s">
        <v>24</v>
      </c>
      <c r="G67" s="10">
        <v>1748</v>
      </c>
    </row>
    <row r="68" spans="1:7" x14ac:dyDescent="0.35">
      <c r="A68" s="10" t="s">
        <v>312</v>
      </c>
      <c r="B68" s="10" t="s">
        <v>313</v>
      </c>
      <c r="C68" s="10" t="s">
        <v>314</v>
      </c>
      <c r="D68" s="10" t="s">
        <v>315</v>
      </c>
      <c r="E68" s="10" t="s">
        <v>316</v>
      </c>
      <c r="F68" s="10" t="s">
        <v>24</v>
      </c>
      <c r="G68" s="10">
        <v>1214.4100000000001</v>
      </c>
    </row>
    <row r="69" spans="1:7" x14ac:dyDescent="0.35">
      <c r="A69" s="10" t="s">
        <v>317</v>
      </c>
      <c r="B69" s="10" t="s">
        <v>318</v>
      </c>
      <c r="C69" s="10" t="s">
        <v>319</v>
      </c>
      <c r="D69" s="10" t="s">
        <v>320</v>
      </c>
      <c r="E69" s="10" t="s">
        <v>321</v>
      </c>
      <c r="F69" s="10" t="s">
        <v>20</v>
      </c>
      <c r="G69" s="10">
        <v>2186.8000000000002</v>
      </c>
    </row>
    <row r="70" spans="1:7" x14ac:dyDescent="0.35">
      <c r="A70" s="10" t="s">
        <v>322</v>
      </c>
      <c r="B70" s="10" t="s">
        <v>293</v>
      </c>
      <c r="C70" s="10" t="s">
        <v>323</v>
      </c>
      <c r="D70" s="10" t="s">
        <v>324</v>
      </c>
      <c r="E70" s="10" t="s">
        <v>325</v>
      </c>
      <c r="F70" s="10" t="s">
        <v>27</v>
      </c>
      <c r="G70" s="10">
        <v>4508.2700000000004</v>
      </c>
    </row>
    <row r="71" spans="1:7" x14ac:dyDescent="0.35">
      <c r="A71" s="10" t="s">
        <v>326</v>
      </c>
      <c r="B71" s="10" t="s">
        <v>230</v>
      </c>
      <c r="C71" s="10" t="s">
        <v>327</v>
      </c>
      <c r="D71" s="10" t="s">
        <v>328</v>
      </c>
      <c r="E71" s="10" t="s">
        <v>329</v>
      </c>
      <c r="F71" s="10" t="s">
        <v>29</v>
      </c>
      <c r="G71" s="10">
        <v>4461.07</v>
      </c>
    </row>
    <row r="72" spans="1:7" x14ac:dyDescent="0.35">
      <c r="A72" s="10" t="s">
        <v>330</v>
      </c>
      <c r="B72" s="10" t="s">
        <v>331</v>
      </c>
      <c r="C72" s="10" t="s">
        <v>332</v>
      </c>
      <c r="D72" s="10" t="s">
        <v>333</v>
      </c>
      <c r="E72" s="10" t="s">
        <v>334</v>
      </c>
      <c r="F72" s="10" t="s">
        <v>29</v>
      </c>
      <c r="G72" s="10">
        <v>3271.06</v>
      </c>
    </row>
    <row r="73" spans="1:7" x14ac:dyDescent="0.35">
      <c r="A73" s="10" t="s">
        <v>335</v>
      </c>
      <c r="B73" s="10" t="s">
        <v>336</v>
      </c>
      <c r="C73" s="10" t="s">
        <v>337</v>
      </c>
      <c r="D73" s="10" t="s">
        <v>338</v>
      </c>
      <c r="E73" s="10" t="s">
        <v>339</v>
      </c>
      <c r="F73" s="10" t="s">
        <v>29</v>
      </c>
      <c r="G73" s="10">
        <v>0</v>
      </c>
    </row>
    <row r="74" spans="1:7" x14ac:dyDescent="0.35">
      <c r="A74" s="10" t="s">
        <v>340</v>
      </c>
      <c r="B74" s="10" t="s">
        <v>341</v>
      </c>
      <c r="C74" s="10" t="s">
        <v>342</v>
      </c>
      <c r="D74" s="10" t="s">
        <v>343</v>
      </c>
      <c r="E74" s="10" t="s">
        <v>344</v>
      </c>
      <c r="F74" s="10" t="s">
        <v>26</v>
      </c>
      <c r="G74" s="10">
        <v>2435.5</v>
      </c>
    </row>
    <row r="75" spans="1:7" x14ac:dyDescent="0.35">
      <c r="A75" s="10" t="s">
        <v>345</v>
      </c>
      <c r="B75" s="10" t="s">
        <v>346</v>
      </c>
      <c r="C75" s="10" t="s">
        <v>347</v>
      </c>
      <c r="D75" s="10" t="s">
        <v>41</v>
      </c>
      <c r="E75" s="10" t="s">
        <v>348</v>
      </c>
      <c r="F75" s="10" t="s">
        <v>28</v>
      </c>
      <c r="G75" s="10">
        <v>4326.01</v>
      </c>
    </row>
    <row r="76" spans="1:7" x14ac:dyDescent="0.35">
      <c r="A76" s="10" t="s">
        <v>349</v>
      </c>
      <c r="B76" s="10" t="s">
        <v>195</v>
      </c>
      <c r="C76" s="10" t="s">
        <v>350</v>
      </c>
      <c r="D76" s="10" t="s">
        <v>351</v>
      </c>
      <c r="E76" s="10" t="s">
        <v>352</v>
      </c>
      <c r="F76" s="10" t="s">
        <v>29</v>
      </c>
      <c r="G76" s="10">
        <v>909</v>
      </c>
    </row>
    <row r="77" spans="1:7" x14ac:dyDescent="0.35">
      <c r="A77" s="10" t="s">
        <v>353</v>
      </c>
      <c r="B77" s="10" t="s">
        <v>354</v>
      </c>
      <c r="C77" s="10" t="s">
        <v>355</v>
      </c>
      <c r="D77" s="10" t="s">
        <v>356</v>
      </c>
      <c r="E77" s="10" t="s">
        <v>357</v>
      </c>
      <c r="F77" s="10" t="s">
        <v>27</v>
      </c>
      <c r="G77" s="10">
        <v>3443.17</v>
      </c>
    </row>
    <row r="78" spans="1:7" x14ac:dyDescent="0.35">
      <c r="A78" s="10" t="s">
        <v>242</v>
      </c>
      <c r="B78" s="10" t="s">
        <v>131</v>
      </c>
      <c r="C78" s="10" t="s">
        <v>243</v>
      </c>
      <c r="D78" s="10" t="s">
        <v>244</v>
      </c>
      <c r="E78" s="10" t="s">
        <v>41</v>
      </c>
      <c r="F78" s="10" t="s">
        <v>26</v>
      </c>
      <c r="G78" s="10">
        <v>142.91999999999999</v>
      </c>
    </row>
    <row r="79" spans="1:7" x14ac:dyDescent="0.35">
      <c r="A79" s="10" t="s">
        <v>358</v>
      </c>
      <c r="B79" s="10" t="s">
        <v>313</v>
      </c>
      <c r="C79" s="10" t="s">
        <v>359</v>
      </c>
      <c r="D79" s="10" t="s">
        <v>41</v>
      </c>
      <c r="E79" s="10" t="s">
        <v>41</v>
      </c>
      <c r="F79" s="10" t="s">
        <v>28</v>
      </c>
      <c r="G79" s="10">
        <v>782.61</v>
      </c>
    </row>
    <row r="80" spans="1:7" x14ac:dyDescent="0.35">
      <c r="A80" s="10" t="s">
        <v>360</v>
      </c>
      <c r="B80" s="10" t="s">
        <v>230</v>
      </c>
      <c r="C80" s="10" t="s">
        <v>361</v>
      </c>
      <c r="D80" s="10" t="s">
        <v>362</v>
      </c>
      <c r="E80" s="10" t="s">
        <v>41</v>
      </c>
      <c r="F80" s="10" t="s">
        <v>28</v>
      </c>
      <c r="G80" s="10">
        <v>876.96</v>
      </c>
    </row>
    <row r="81" spans="1:7" x14ac:dyDescent="0.35">
      <c r="A81" s="10" t="s">
        <v>363</v>
      </c>
      <c r="B81" s="10" t="s">
        <v>364</v>
      </c>
      <c r="C81" s="10" t="s">
        <v>365</v>
      </c>
      <c r="D81" s="10" t="s">
        <v>41</v>
      </c>
      <c r="E81" s="10" t="s">
        <v>366</v>
      </c>
      <c r="F81" s="10" t="s">
        <v>27</v>
      </c>
      <c r="G81" s="10">
        <v>1906.47</v>
      </c>
    </row>
    <row r="82" spans="1:7" x14ac:dyDescent="0.35">
      <c r="A82" s="10" t="s">
        <v>139</v>
      </c>
      <c r="B82" s="10" t="s">
        <v>140</v>
      </c>
      <c r="C82" s="10" t="s">
        <v>141</v>
      </c>
      <c r="D82" s="10" t="s">
        <v>142</v>
      </c>
      <c r="E82" s="10" t="s">
        <v>143</v>
      </c>
      <c r="F82" s="10" t="s">
        <v>24</v>
      </c>
      <c r="G82" s="10">
        <v>4634.43</v>
      </c>
    </row>
    <row r="83" spans="1:7" x14ac:dyDescent="0.35">
      <c r="A83" s="10" t="s">
        <v>367</v>
      </c>
      <c r="B83" s="10" t="s">
        <v>368</v>
      </c>
      <c r="C83" s="10" t="s">
        <v>369</v>
      </c>
      <c r="D83" s="10" t="s">
        <v>41</v>
      </c>
      <c r="E83" s="10" t="s">
        <v>41</v>
      </c>
      <c r="F83" s="10" t="s">
        <v>26</v>
      </c>
      <c r="G83" s="10">
        <v>4229.8</v>
      </c>
    </row>
    <row r="84" spans="1:7" x14ac:dyDescent="0.35">
      <c r="A84" s="10" t="s">
        <v>370</v>
      </c>
      <c r="B84" s="10" t="s">
        <v>303</v>
      </c>
      <c r="C84" s="10" t="s">
        <v>371</v>
      </c>
      <c r="D84" s="10" t="s">
        <v>41</v>
      </c>
      <c r="E84" s="10" t="s">
        <v>372</v>
      </c>
      <c r="F84" s="10" t="s">
        <v>22</v>
      </c>
      <c r="G84" s="10">
        <v>2287.62</v>
      </c>
    </row>
    <row r="85" spans="1:7" x14ac:dyDescent="0.35">
      <c r="A85" s="10" t="s">
        <v>373</v>
      </c>
      <c r="B85" s="10" t="s">
        <v>374</v>
      </c>
      <c r="C85" s="10" t="s">
        <v>41</v>
      </c>
      <c r="D85" s="10" t="s">
        <v>375</v>
      </c>
      <c r="E85" s="10" t="s">
        <v>376</v>
      </c>
      <c r="F85" s="10" t="s">
        <v>28</v>
      </c>
      <c r="G85" s="10">
        <v>4839.72</v>
      </c>
    </row>
    <row r="86" spans="1:7" x14ac:dyDescent="0.35">
      <c r="A86" s="10" t="s">
        <v>377</v>
      </c>
      <c r="B86" s="10" t="s">
        <v>97</v>
      </c>
      <c r="C86" s="10" t="s">
        <v>378</v>
      </c>
      <c r="D86" s="10" t="s">
        <v>41</v>
      </c>
      <c r="E86" s="10" t="s">
        <v>379</v>
      </c>
      <c r="F86" s="10" t="s">
        <v>20</v>
      </c>
      <c r="G86" s="10">
        <v>3141.58</v>
      </c>
    </row>
    <row r="87" spans="1:7" x14ac:dyDescent="0.35">
      <c r="A87" s="10" t="s">
        <v>380</v>
      </c>
      <c r="B87" s="10" t="s">
        <v>381</v>
      </c>
      <c r="C87" s="10" t="s">
        <v>382</v>
      </c>
      <c r="D87" s="10" t="s">
        <v>383</v>
      </c>
      <c r="E87" s="10" t="s">
        <v>41</v>
      </c>
      <c r="F87" s="10" t="s">
        <v>28</v>
      </c>
      <c r="G87" s="10">
        <v>2183.02</v>
      </c>
    </row>
    <row r="88" spans="1:7" x14ac:dyDescent="0.35">
      <c r="A88" s="10" t="s">
        <v>384</v>
      </c>
      <c r="B88" s="10" t="s">
        <v>385</v>
      </c>
      <c r="C88" s="10" t="s">
        <v>41</v>
      </c>
      <c r="D88" s="10" t="s">
        <v>386</v>
      </c>
      <c r="E88" s="10" t="s">
        <v>387</v>
      </c>
      <c r="F88" s="10" t="s">
        <v>26</v>
      </c>
      <c r="G88" s="10">
        <v>3965</v>
      </c>
    </row>
    <row r="89" spans="1:7" x14ac:dyDescent="0.35">
      <c r="A89" s="10" t="s">
        <v>388</v>
      </c>
      <c r="B89" s="10" t="s">
        <v>389</v>
      </c>
      <c r="C89" s="10" t="s">
        <v>41</v>
      </c>
      <c r="D89" s="10" t="s">
        <v>390</v>
      </c>
      <c r="E89" s="10" t="s">
        <v>391</v>
      </c>
      <c r="F89" s="10" t="s">
        <v>27</v>
      </c>
      <c r="G89" s="10">
        <v>2437</v>
      </c>
    </row>
    <row r="90" spans="1:7" x14ac:dyDescent="0.35">
      <c r="A90" s="10" t="s">
        <v>392</v>
      </c>
      <c r="B90" s="10" t="s">
        <v>393</v>
      </c>
      <c r="C90" s="10" t="s">
        <v>394</v>
      </c>
      <c r="D90" s="10" t="s">
        <v>395</v>
      </c>
      <c r="E90" s="10" t="s">
        <v>396</v>
      </c>
      <c r="F90" s="10" t="s">
        <v>27</v>
      </c>
      <c r="G90" s="10">
        <v>3559.65</v>
      </c>
    </row>
    <row r="91" spans="1:7" x14ac:dyDescent="0.35">
      <c r="A91" s="10" t="s">
        <v>397</v>
      </c>
      <c r="B91" s="10" t="s">
        <v>58</v>
      </c>
      <c r="C91" s="10" t="s">
        <v>398</v>
      </c>
      <c r="D91" s="10" t="s">
        <v>41</v>
      </c>
      <c r="E91" s="10" t="s">
        <v>399</v>
      </c>
      <c r="F91" s="10" t="s">
        <v>28</v>
      </c>
      <c r="G91" s="10">
        <v>2703</v>
      </c>
    </row>
    <row r="92" spans="1:7" x14ac:dyDescent="0.35">
      <c r="A92" s="10" t="s">
        <v>400</v>
      </c>
      <c r="B92" s="10" t="s">
        <v>401</v>
      </c>
      <c r="C92" s="10" t="s">
        <v>402</v>
      </c>
      <c r="D92" s="10" t="s">
        <v>403</v>
      </c>
      <c r="E92" s="10" t="s">
        <v>404</v>
      </c>
      <c r="F92" s="10" t="s">
        <v>26</v>
      </c>
      <c r="G92" s="10">
        <v>793.22</v>
      </c>
    </row>
    <row r="93" spans="1:7" x14ac:dyDescent="0.35">
      <c r="A93" s="10" t="s">
        <v>405</v>
      </c>
      <c r="B93" s="10" t="s">
        <v>199</v>
      </c>
      <c r="C93" s="10" t="s">
        <v>41</v>
      </c>
      <c r="D93" s="10" t="s">
        <v>406</v>
      </c>
      <c r="E93" s="10" t="s">
        <v>407</v>
      </c>
      <c r="F93" s="10" t="s">
        <v>28</v>
      </c>
      <c r="G93" s="10">
        <v>3922.07</v>
      </c>
    </row>
    <row r="94" spans="1:7" x14ac:dyDescent="0.35">
      <c r="A94" s="10" t="s">
        <v>408</v>
      </c>
      <c r="B94" s="10" t="s">
        <v>401</v>
      </c>
      <c r="C94" s="10" t="s">
        <v>409</v>
      </c>
      <c r="D94" s="10" t="s">
        <v>410</v>
      </c>
      <c r="E94" s="10" t="s">
        <v>411</v>
      </c>
      <c r="F94" s="10" t="s">
        <v>24</v>
      </c>
      <c r="G94" s="10">
        <v>976.73</v>
      </c>
    </row>
    <row r="95" spans="1:7" x14ac:dyDescent="0.35">
      <c r="A95" s="10" t="s">
        <v>412</v>
      </c>
      <c r="B95" s="10" t="s">
        <v>413</v>
      </c>
      <c r="C95" s="10" t="s">
        <v>414</v>
      </c>
      <c r="D95" s="10" t="s">
        <v>415</v>
      </c>
      <c r="E95" s="10" t="s">
        <v>416</v>
      </c>
      <c r="F95" s="10" t="s">
        <v>29</v>
      </c>
      <c r="G95" s="10">
        <v>3133.34</v>
      </c>
    </row>
    <row r="96" spans="1:7" x14ac:dyDescent="0.35">
      <c r="A96" s="10" t="s">
        <v>417</v>
      </c>
      <c r="B96" s="10" t="s">
        <v>418</v>
      </c>
      <c r="C96" s="10" t="s">
        <v>419</v>
      </c>
      <c r="D96" s="10" t="s">
        <v>420</v>
      </c>
      <c r="E96" s="10" t="s">
        <v>421</v>
      </c>
      <c r="F96" s="10" t="s">
        <v>27</v>
      </c>
      <c r="G96" s="10">
        <v>2917.97</v>
      </c>
    </row>
    <row r="97" spans="1:7" x14ac:dyDescent="0.35">
      <c r="A97" s="10" t="s">
        <v>422</v>
      </c>
      <c r="B97" s="10" t="s">
        <v>374</v>
      </c>
      <c r="C97" s="10" t="s">
        <v>423</v>
      </c>
      <c r="D97" s="10" t="s">
        <v>424</v>
      </c>
      <c r="E97" s="10" t="s">
        <v>425</v>
      </c>
      <c r="F97" s="10" t="s">
        <v>24</v>
      </c>
      <c r="G97" s="10">
        <v>4597.8900000000003</v>
      </c>
    </row>
    <row r="98" spans="1:7" x14ac:dyDescent="0.35">
      <c r="A98" s="10" t="s">
        <v>426</v>
      </c>
      <c r="B98" s="10" t="s">
        <v>427</v>
      </c>
      <c r="C98" s="10" t="s">
        <v>428</v>
      </c>
      <c r="D98" s="10" t="s">
        <v>429</v>
      </c>
      <c r="E98" s="10" t="s">
        <v>430</v>
      </c>
      <c r="F98" s="10" t="s">
        <v>22</v>
      </c>
      <c r="G98" s="10">
        <v>2526.65</v>
      </c>
    </row>
    <row r="99" spans="1:7" x14ac:dyDescent="0.35">
      <c r="A99" s="10" t="s">
        <v>431</v>
      </c>
      <c r="B99" s="10" t="s">
        <v>432</v>
      </c>
      <c r="C99" s="10" t="s">
        <v>433</v>
      </c>
      <c r="D99" s="10" t="s">
        <v>41</v>
      </c>
      <c r="E99" s="10" t="s">
        <v>434</v>
      </c>
      <c r="F99" s="10" t="s">
        <v>20</v>
      </c>
      <c r="G99" s="10">
        <v>831.94</v>
      </c>
    </row>
    <row r="100" spans="1:7" x14ac:dyDescent="0.35">
      <c r="A100" s="10" t="s">
        <v>435</v>
      </c>
      <c r="B100" s="10" t="s">
        <v>436</v>
      </c>
      <c r="C100" s="10" t="s">
        <v>437</v>
      </c>
      <c r="D100" s="10" t="s">
        <v>438</v>
      </c>
      <c r="E100" s="10" t="s">
        <v>439</v>
      </c>
      <c r="F100" s="10" t="s">
        <v>26</v>
      </c>
      <c r="G100" s="10">
        <v>3187.81</v>
      </c>
    </row>
    <row r="101" spans="1:7" x14ac:dyDescent="0.35">
      <c r="A101" s="10" t="s">
        <v>440</v>
      </c>
      <c r="B101" s="10" t="s">
        <v>441</v>
      </c>
      <c r="C101" s="10" t="s">
        <v>442</v>
      </c>
      <c r="D101" s="10" t="s">
        <v>41</v>
      </c>
      <c r="E101" s="10" t="s">
        <v>443</v>
      </c>
      <c r="F101" s="10" t="s">
        <v>22</v>
      </c>
      <c r="G101" s="10">
        <v>1300</v>
      </c>
    </row>
    <row r="102" spans="1:7" x14ac:dyDescent="0.35">
      <c r="A102" s="10" t="s">
        <v>444</v>
      </c>
      <c r="B102" s="10" t="s">
        <v>445</v>
      </c>
      <c r="C102" s="10" t="s">
        <v>446</v>
      </c>
      <c r="D102" s="10" t="s">
        <v>447</v>
      </c>
      <c r="E102" s="10" t="s">
        <v>448</v>
      </c>
      <c r="F102" s="10" t="s">
        <v>29</v>
      </c>
      <c r="G102" s="10">
        <v>0</v>
      </c>
    </row>
    <row r="103" spans="1:7" x14ac:dyDescent="0.35">
      <c r="A103" s="10" t="s">
        <v>449</v>
      </c>
      <c r="B103" s="10" t="s">
        <v>450</v>
      </c>
      <c r="C103" s="10" t="s">
        <v>451</v>
      </c>
      <c r="D103" s="10" t="s">
        <v>41</v>
      </c>
      <c r="E103" s="10" t="s">
        <v>41</v>
      </c>
      <c r="F103" s="10" t="s">
        <v>22</v>
      </c>
      <c r="G103" s="10">
        <v>783.27</v>
      </c>
    </row>
    <row r="104" spans="1:7" x14ac:dyDescent="0.35">
      <c r="A104" s="10" t="s">
        <v>211</v>
      </c>
      <c r="B104" s="10" t="s">
        <v>212</v>
      </c>
      <c r="C104" s="10" t="s">
        <v>213</v>
      </c>
      <c r="D104" s="10" t="s">
        <v>214</v>
      </c>
      <c r="E104" s="10" t="s">
        <v>215</v>
      </c>
      <c r="F104" s="10" t="s">
        <v>22</v>
      </c>
      <c r="G104" s="10">
        <v>3382.95</v>
      </c>
    </row>
    <row r="105" spans="1:7" x14ac:dyDescent="0.35">
      <c r="A105" s="10" t="s">
        <v>452</v>
      </c>
      <c r="B105" s="10" t="s">
        <v>453</v>
      </c>
      <c r="C105" s="10" t="s">
        <v>454</v>
      </c>
      <c r="D105" s="10" t="s">
        <v>455</v>
      </c>
      <c r="E105" s="10" t="s">
        <v>456</v>
      </c>
      <c r="F105" s="10" t="s">
        <v>29</v>
      </c>
      <c r="G105" s="10">
        <v>4335.6400000000003</v>
      </c>
    </row>
    <row r="106" spans="1:7" x14ac:dyDescent="0.35">
      <c r="A106" s="10" t="s">
        <v>457</v>
      </c>
      <c r="B106" s="10" t="s">
        <v>458</v>
      </c>
      <c r="C106" s="10" t="s">
        <v>459</v>
      </c>
      <c r="D106" s="10" t="s">
        <v>41</v>
      </c>
      <c r="E106" s="10" t="s">
        <v>41</v>
      </c>
      <c r="F106" s="10" t="s">
        <v>29</v>
      </c>
      <c r="G106" s="10">
        <v>4219.03</v>
      </c>
    </row>
    <row r="107" spans="1:7" x14ac:dyDescent="0.35">
      <c r="A107" s="10" t="s">
        <v>460</v>
      </c>
      <c r="B107" s="10" t="s">
        <v>461</v>
      </c>
      <c r="C107" s="10" t="s">
        <v>462</v>
      </c>
      <c r="D107" s="10" t="s">
        <v>41</v>
      </c>
      <c r="E107" s="10" t="s">
        <v>463</v>
      </c>
      <c r="F107" s="10" t="s">
        <v>29</v>
      </c>
      <c r="G107" s="10">
        <v>2481.89</v>
      </c>
    </row>
    <row r="108" spans="1:7" x14ac:dyDescent="0.35">
      <c r="A108" s="10" t="s">
        <v>464</v>
      </c>
      <c r="B108" s="10" t="s">
        <v>465</v>
      </c>
      <c r="C108" s="10" t="s">
        <v>466</v>
      </c>
      <c r="D108" s="10" t="s">
        <v>467</v>
      </c>
      <c r="E108" s="10" t="s">
        <v>237</v>
      </c>
      <c r="F108" s="10" t="s">
        <v>26</v>
      </c>
      <c r="G108" s="10">
        <v>2969.49</v>
      </c>
    </row>
    <row r="109" spans="1:7" x14ac:dyDescent="0.35">
      <c r="A109" s="10" t="s">
        <v>468</v>
      </c>
      <c r="B109" s="10" t="s">
        <v>469</v>
      </c>
      <c r="C109" s="10" t="s">
        <v>470</v>
      </c>
      <c r="D109" s="10" t="s">
        <v>471</v>
      </c>
      <c r="E109" s="10" t="s">
        <v>472</v>
      </c>
      <c r="F109" s="10" t="s">
        <v>29</v>
      </c>
      <c r="G109" s="10">
        <v>4025</v>
      </c>
    </row>
    <row r="110" spans="1:7" x14ac:dyDescent="0.35">
      <c r="A110" s="10" t="s">
        <v>473</v>
      </c>
      <c r="B110" s="10" t="s">
        <v>131</v>
      </c>
      <c r="C110" s="10" t="s">
        <v>474</v>
      </c>
      <c r="D110" s="10" t="s">
        <v>41</v>
      </c>
      <c r="E110" s="10" t="s">
        <v>475</v>
      </c>
      <c r="F110" s="10" t="s">
        <v>28</v>
      </c>
      <c r="G110" s="10">
        <v>293.77</v>
      </c>
    </row>
    <row r="111" spans="1:7" x14ac:dyDescent="0.35">
      <c r="A111" s="10" t="s">
        <v>476</v>
      </c>
      <c r="B111" s="10" t="s">
        <v>195</v>
      </c>
      <c r="C111" s="10" t="s">
        <v>477</v>
      </c>
      <c r="D111" s="10" t="s">
        <v>478</v>
      </c>
      <c r="E111" s="10" t="s">
        <v>479</v>
      </c>
      <c r="F111" s="10" t="s">
        <v>22</v>
      </c>
      <c r="G111" s="10">
        <v>1004.08</v>
      </c>
    </row>
    <row r="112" spans="1:7" x14ac:dyDescent="0.35">
      <c r="A112" s="10" t="s">
        <v>480</v>
      </c>
      <c r="B112" s="10" t="s">
        <v>80</v>
      </c>
      <c r="C112" s="10" t="s">
        <v>481</v>
      </c>
      <c r="D112" s="10" t="s">
        <v>41</v>
      </c>
      <c r="E112" s="10" t="s">
        <v>482</v>
      </c>
      <c r="F112" s="10" t="s">
        <v>27</v>
      </c>
      <c r="G112" s="10">
        <v>3357.41</v>
      </c>
    </row>
    <row r="113" spans="1:7" x14ac:dyDescent="0.35">
      <c r="A113" s="10" t="s">
        <v>483</v>
      </c>
      <c r="B113" s="10" t="s">
        <v>336</v>
      </c>
      <c r="C113" s="10" t="s">
        <v>41</v>
      </c>
      <c r="D113" s="10" t="s">
        <v>484</v>
      </c>
      <c r="E113" s="10" t="s">
        <v>485</v>
      </c>
      <c r="F113" s="10" t="s">
        <v>29</v>
      </c>
      <c r="G113" s="10">
        <v>819</v>
      </c>
    </row>
    <row r="114" spans="1:7" x14ac:dyDescent="0.35">
      <c r="A114" s="10" t="s">
        <v>486</v>
      </c>
      <c r="B114" s="10" t="s">
        <v>230</v>
      </c>
      <c r="C114" s="10" t="s">
        <v>487</v>
      </c>
      <c r="D114" s="10" t="s">
        <v>41</v>
      </c>
      <c r="E114" s="10" t="s">
        <v>488</v>
      </c>
      <c r="F114" s="10" t="s">
        <v>27</v>
      </c>
      <c r="G114" s="10">
        <v>3724.8</v>
      </c>
    </row>
    <row r="115" spans="1:7" x14ac:dyDescent="0.35">
      <c r="A115" s="10" t="s">
        <v>489</v>
      </c>
      <c r="B115" s="10" t="s">
        <v>490</v>
      </c>
      <c r="C115" s="10" t="s">
        <v>491</v>
      </c>
      <c r="D115" s="10" t="s">
        <v>492</v>
      </c>
      <c r="E115" s="10" t="s">
        <v>493</v>
      </c>
      <c r="F115" s="10" t="s">
        <v>29</v>
      </c>
      <c r="G115" s="10">
        <v>2877</v>
      </c>
    </row>
    <row r="116" spans="1:7" x14ac:dyDescent="0.35">
      <c r="A116" s="10" t="s">
        <v>494</v>
      </c>
      <c r="B116" s="10" t="s">
        <v>308</v>
      </c>
      <c r="C116" s="10" t="s">
        <v>495</v>
      </c>
      <c r="D116" s="10" t="s">
        <v>496</v>
      </c>
      <c r="E116" s="10" t="s">
        <v>497</v>
      </c>
      <c r="F116" s="10" t="s">
        <v>28</v>
      </c>
      <c r="G116" s="10">
        <v>3081.18</v>
      </c>
    </row>
    <row r="117" spans="1:7" x14ac:dyDescent="0.35">
      <c r="A117" s="10" t="s">
        <v>498</v>
      </c>
      <c r="B117" s="10" t="s">
        <v>499</v>
      </c>
      <c r="C117" s="10" t="s">
        <v>41</v>
      </c>
      <c r="D117" s="10" t="s">
        <v>500</v>
      </c>
      <c r="E117" s="10" t="s">
        <v>41</v>
      </c>
      <c r="F117" s="10" t="s">
        <v>24</v>
      </c>
      <c r="G117" s="10">
        <v>1849.03</v>
      </c>
    </row>
    <row r="118" spans="1:7" x14ac:dyDescent="0.35">
      <c r="A118" s="10" t="s">
        <v>501</v>
      </c>
      <c r="B118" s="10" t="s">
        <v>490</v>
      </c>
      <c r="C118" s="10" t="s">
        <v>502</v>
      </c>
      <c r="D118" s="10" t="s">
        <v>503</v>
      </c>
      <c r="E118" s="10" t="s">
        <v>41</v>
      </c>
      <c r="F118" s="10" t="s">
        <v>26</v>
      </c>
      <c r="G118" s="10">
        <v>1197.79</v>
      </c>
    </row>
    <row r="119" spans="1:7" x14ac:dyDescent="0.35">
      <c r="A119" s="10" t="s">
        <v>504</v>
      </c>
      <c r="B119" s="10" t="s">
        <v>298</v>
      </c>
      <c r="C119" s="10" t="s">
        <v>505</v>
      </c>
      <c r="D119" s="10" t="s">
        <v>506</v>
      </c>
      <c r="E119" s="10" t="s">
        <v>507</v>
      </c>
      <c r="F119" s="10" t="s">
        <v>20</v>
      </c>
      <c r="G119" s="10">
        <v>4524.03</v>
      </c>
    </row>
    <row r="120" spans="1:7" x14ac:dyDescent="0.35">
      <c r="A120" s="10" t="s">
        <v>508</v>
      </c>
      <c r="B120" s="10" t="s">
        <v>85</v>
      </c>
      <c r="C120" s="10" t="s">
        <v>41</v>
      </c>
      <c r="D120" s="10" t="s">
        <v>509</v>
      </c>
      <c r="E120" s="10" t="s">
        <v>510</v>
      </c>
      <c r="F120" s="10" t="s">
        <v>24</v>
      </c>
      <c r="G120" s="10">
        <v>935.95</v>
      </c>
    </row>
    <row r="121" spans="1:7" x14ac:dyDescent="0.35">
      <c r="A121" s="10" t="s">
        <v>511</v>
      </c>
      <c r="B121" s="10" t="s">
        <v>164</v>
      </c>
      <c r="C121" s="10" t="s">
        <v>512</v>
      </c>
      <c r="D121" s="10" t="s">
        <v>513</v>
      </c>
      <c r="E121" s="10" t="s">
        <v>514</v>
      </c>
      <c r="F121" s="10" t="s">
        <v>27</v>
      </c>
      <c r="G121" s="10">
        <v>-928</v>
      </c>
    </row>
    <row r="122" spans="1:7" x14ac:dyDescent="0.35">
      <c r="A122" s="10" t="s">
        <v>515</v>
      </c>
      <c r="B122" s="10" t="s">
        <v>516</v>
      </c>
      <c r="C122" s="10" t="s">
        <v>517</v>
      </c>
      <c r="D122" s="10" t="s">
        <v>41</v>
      </c>
      <c r="E122" s="10" t="s">
        <v>518</v>
      </c>
      <c r="F122" s="10" t="s">
        <v>22</v>
      </c>
      <c r="G122" s="10">
        <v>2277.71</v>
      </c>
    </row>
    <row r="123" spans="1:7" x14ac:dyDescent="0.35">
      <c r="A123" s="10" t="s">
        <v>519</v>
      </c>
      <c r="B123" s="10" t="s">
        <v>520</v>
      </c>
      <c r="C123" s="10" t="s">
        <v>521</v>
      </c>
      <c r="D123" s="10" t="s">
        <v>522</v>
      </c>
      <c r="E123" s="10" t="s">
        <v>523</v>
      </c>
      <c r="F123" s="10" t="s">
        <v>29</v>
      </c>
      <c r="G123" s="10">
        <v>1411.95</v>
      </c>
    </row>
    <row r="124" spans="1:7" x14ac:dyDescent="0.35">
      <c r="A124" s="10" t="s">
        <v>524</v>
      </c>
      <c r="B124" s="10" t="s">
        <v>89</v>
      </c>
      <c r="C124" s="10" t="s">
        <v>525</v>
      </c>
      <c r="D124" s="10" t="s">
        <v>526</v>
      </c>
      <c r="E124" s="10" t="s">
        <v>527</v>
      </c>
      <c r="F124" s="10" t="s">
        <v>27</v>
      </c>
      <c r="G124" s="10">
        <v>1010.22</v>
      </c>
    </row>
    <row r="125" spans="1:7" x14ac:dyDescent="0.35">
      <c r="A125" s="10" t="s">
        <v>528</v>
      </c>
      <c r="B125" s="10" t="s">
        <v>155</v>
      </c>
      <c r="C125" s="10" t="s">
        <v>529</v>
      </c>
      <c r="D125" s="10" t="s">
        <v>530</v>
      </c>
      <c r="E125" s="10" t="s">
        <v>41</v>
      </c>
      <c r="F125" s="10" t="s">
        <v>29</v>
      </c>
      <c r="G125" s="10">
        <v>2404.63</v>
      </c>
    </row>
    <row r="126" spans="1:7" x14ac:dyDescent="0.35">
      <c r="A126" s="10" t="s">
        <v>531</v>
      </c>
      <c r="B126" s="10" t="s">
        <v>532</v>
      </c>
      <c r="C126" s="10" t="s">
        <v>533</v>
      </c>
      <c r="D126" s="10" t="s">
        <v>534</v>
      </c>
      <c r="E126" s="10" t="s">
        <v>535</v>
      </c>
      <c r="F126" s="10" t="s">
        <v>24</v>
      </c>
      <c r="G126" s="10">
        <v>0</v>
      </c>
    </row>
    <row r="127" spans="1:7" x14ac:dyDescent="0.35">
      <c r="A127" s="10" t="s">
        <v>536</v>
      </c>
      <c r="B127" s="10" t="s">
        <v>63</v>
      </c>
      <c r="C127" s="10" t="s">
        <v>537</v>
      </c>
      <c r="D127" s="10" t="s">
        <v>41</v>
      </c>
      <c r="E127" s="10" t="s">
        <v>41</v>
      </c>
      <c r="F127" s="10" t="s">
        <v>20</v>
      </c>
      <c r="G127" s="10">
        <v>2098.2399999999998</v>
      </c>
    </row>
    <row r="128" spans="1:7" x14ac:dyDescent="0.35">
      <c r="A128" s="10" t="s">
        <v>538</v>
      </c>
      <c r="B128" s="10" t="s">
        <v>49</v>
      </c>
      <c r="C128" s="10" t="s">
        <v>539</v>
      </c>
      <c r="D128" s="10" t="s">
        <v>540</v>
      </c>
      <c r="E128" s="10" t="s">
        <v>541</v>
      </c>
      <c r="F128" s="10" t="s">
        <v>27</v>
      </c>
      <c r="G128" s="10">
        <v>3370.69</v>
      </c>
    </row>
    <row r="129" spans="1:7" x14ac:dyDescent="0.35">
      <c r="A129" s="10" t="s">
        <v>542</v>
      </c>
      <c r="B129" s="10" t="s">
        <v>543</v>
      </c>
      <c r="C129" s="10" t="s">
        <v>544</v>
      </c>
      <c r="D129" s="10" t="s">
        <v>545</v>
      </c>
      <c r="E129" s="10" t="s">
        <v>546</v>
      </c>
      <c r="F129" s="10" t="s">
        <v>22</v>
      </c>
      <c r="G129" s="10">
        <v>0</v>
      </c>
    </row>
    <row r="130" spans="1:7" x14ac:dyDescent="0.35">
      <c r="A130" s="10" t="s">
        <v>547</v>
      </c>
      <c r="B130" s="10" t="s">
        <v>548</v>
      </c>
      <c r="C130" s="10" t="s">
        <v>549</v>
      </c>
      <c r="D130" s="10" t="s">
        <v>550</v>
      </c>
      <c r="E130" s="10" t="s">
        <v>41</v>
      </c>
      <c r="F130" s="10" t="s">
        <v>26</v>
      </c>
      <c r="G130" s="10">
        <v>2970.76</v>
      </c>
    </row>
    <row r="131" spans="1:7" x14ac:dyDescent="0.35">
      <c r="A131" s="10" t="s">
        <v>551</v>
      </c>
      <c r="B131" s="10" t="s">
        <v>552</v>
      </c>
      <c r="C131" s="10" t="s">
        <v>553</v>
      </c>
      <c r="D131" s="10" t="s">
        <v>554</v>
      </c>
      <c r="E131" s="10" t="s">
        <v>555</v>
      </c>
      <c r="F131" s="10" t="s">
        <v>22</v>
      </c>
      <c r="G131" s="10">
        <v>0</v>
      </c>
    </row>
    <row r="132" spans="1:7" x14ac:dyDescent="0.35">
      <c r="A132" s="10" t="s">
        <v>556</v>
      </c>
      <c r="B132" s="10" t="s">
        <v>557</v>
      </c>
      <c r="C132" s="10" t="s">
        <v>558</v>
      </c>
      <c r="D132" s="10" t="s">
        <v>559</v>
      </c>
      <c r="E132" s="10" t="s">
        <v>41</v>
      </c>
      <c r="F132" s="10" t="s">
        <v>26</v>
      </c>
      <c r="G132" s="10">
        <v>2513.5</v>
      </c>
    </row>
    <row r="133" spans="1:7" x14ac:dyDescent="0.35">
      <c r="A133" s="10" t="s">
        <v>560</v>
      </c>
      <c r="B133" s="10" t="s">
        <v>234</v>
      </c>
      <c r="C133" s="10" t="s">
        <v>561</v>
      </c>
      <c r="D133" s="10" t="s">
        <v>562</v>
      </c>
      <c r="E133" s="10" t="s">
        <v>563</v>
      </c>
      <c r="F133" s="10" t="s">
        <v>29</v>
      </c>
      <c r="G133" s="10">
        <v>1361.84</v>
      </c>
    </row>
    <row r="134" spans="1:7" x14ac:dyDescent="0.35">
      <c r="A134" s="10" t="s">
        <v>564</v>
      </c>
      <c r="B134" s="10" t="s">
        <v>354</v>
      </c>
      <c r="C134" s="10" t="s">
        <v>565</v>
      </c>
      <c r="D134" s="10" t="s">
        <v>566</v>
      </c>
      <c r="E134" s="10" t="s">
        <v>567</v>
      </c>
      <c r="F134" s="10" t="s">
        <v>29</v>
      </c>
      <c r="G134" s="10">
        <v>897.52</v>
      </c>
    </row>
    <row r="135" spans="1:7" x14ac:dyDescent="0.35">
      <c r="A135" s="10" t="s">
        <v>568</v>
      </c>
      <c r="B135" s="10" t="s">
        <v>490</v>
      </c>
      <c r="C135" s="10" t="s">
        <v>569</v>
      </c>
      <c r="D135" s="10" t="s">
        <v>570</v>
      </c>
      <c r="E135" s="10" t="s">
        <v>571</v>
      </c>
      <c r="F135" s="10" t="s">
        <v>27</v>
      </c>
      <c r="G135" s="10">
        <v>2310.89</v>
      </c>
    </row>
    <row r="136" spans="1:7" x14ac:dyDescent="0.35">
      <c r="A136" s="10" t="s">
        <v>572</v>
      </c>
      <c r="B136" s="10" t="s">
        <v>191</v>
      </c>
      <c r="C136" s="10" t="s">
        <v>41</v>
      </c>
      <c r="D136" s="10" t="s">
        <v>41</v>
      </c>
      <c r="E136" s="10" t="s">
        <v>573</v>
      </c>
      <c r="F136" s="10" t="s">
        <v>29</v>
      </c>
      <c r="G136" s="10">
        <v>4225.72</v>
      </c>
    </row>
    <row r="137" spans="1:7" x14ac:dyDescent="0.35">
      <c r="A137" s="10" t="s">
        <v>574</v>
      </c>
      <c r="B137" s="10" t="s">
        <v>469</v>
      </c>
      <c r="C137" s="10" t="s">
        <v>575</v>
      </c>
      <c r="D137" s="10" t="s">
        <v>576</v>
      </c>
      <c r="E137" s="10" t="s">
        <v>577</v>
      </c>
      <c r="F137" s="10" t="s">
        <v>29</v>
      </c>
      <c r="G137" s="10">
        <v>1870.92</v>
      </c>
    </row>
    <row r="138" spans="1:7" x14ac:dyDescent="0.35">
      <c r="A138" s="10" t="s">
        <v>578</v>
      </c>
      <c r="B138" s="10" t="s">
        <v>579</v>
      </c>
      <c r="C138" s="10" t="s">
        <v>580</v>
      </c>
      <c r="D138" s="10" t="s">
        <v>581</v>
      </c>
      <c r="E138" s="10" t="s">
        <v>582</v>
      </c>
      <c r="F138" s="10" t="s">
        <v>27</v>
      </c>
      <c r="G138" s="10">
        <v>1821.77</v>
      </c>
    </row>
    <row r="139" spans="1:7" x14ac:dyDescent="0.35">
      <c r="A139" s="10" t="s">
        <v>583</v>
      </c>
      <c r="B139" s="10" t="s">
        <v>584</v>
      </c>
      <c r="C139" s="10" t="s">
        <v>41</v>
      </c>
      <c r="D139" s="10" t="s">
        <v>585</v>
      </c>
      <c r="E139" s="10" t="s">
        <v>41</v>
      </c>
      <c r="F139" s="10" t="s">
        <v>26</v>
      </c>
      <c r="G139" s="10">
        <v>1811.51</v>
      </c>
    </row>
    <row r="140" spans="1:7" x14ac:dyDescent="0.35">
      <c r="A140" s="10" t="s">
        <v>586</v>
      </c>
      <c r="B140" s="10" t="s">
        <v>225</v>
      </c>
      <c r="C140" s="10" t="s">
        <v>41</v>
      </c>
      <c r="D140" s="10" t="s">
        <v>41</v>
      </c>
      <c r="E140" s="10" t="s">
        <v>587</v>
      </c>
      <c r="F140" s="10" t="s">
        <v>22</v>
      </c>
      <c r="G140" s="10">
        <v>2911</v>
      </c>
    </row>
    <row r="141" spans="1:7" x14ac:dyDescent="0.35">
      <c r="A141" s="10" t="s">
        <v>588</v>
      </c>
      <c r="B141" s="10" t="s">
        <v>589</v>
      </c>
      <c r="C141" s="10" t="s">
        <v>590</v>
      </c>
      <c r="D141" s="10" t="s">
        <v>591</v>
      </c>
      <c r="E141" s="10" t="s">
        <v>592</v>
      </c>
      <c r="F141" s="10" t="s">
        <v>29</v>
      </c>
      <c r="G141" s="10">
        <v>740.19</v>
      </c>
    </row>
    <row r="142" spans="1:7" x14ac:dyDescent="0.35">
      <c r="A142" s="10" t="s">
        <v>593</v>
      </c>
      <c r="B142" s="10" t="s">
        <v>461</v>
      </c>
      <c r="C142" s="10" t="s">
        <v>594</v>
      </c>
      <c r="D142" s="10" t="s">
        <v>595</v>
      </c>
      <c r="E142" s="10" t="s">
        <v>41</v>
      </c>
      <c r="F142" s="10" t="s">
        <v>22</v>
      </c>
      <c r="G142" s="10">
        <v>1756</v>
      </c>
    </row>
    <row r="143" spans="1:7" x14ac:dyDescent="0.35">
      <c r="A143" s="10" t="s">
        <v>596</v>
      </c>
      <c r="B143" s="10" t="s">
        <v>597</v>
      </c>
      <c r="C143" s="10" t="s">
        <v>598</v>
      </c>
      <c r="D143" s="10" t="s">
        <v>599</v>
      </c>
      <c r="E143" s="10" t="s">
        <v>41</v>
      </c>
      <c r="F143" s="10" t="s">
        <v>29</v>
      </c>
      <c r="G143" s="10">
        <v>1170.3900000000001</v>
      </c>
    </row>
    <row r="144" spans="1:7" x14ac:dyDescent="0.35">
      <c r="A144" s="10" t="s">
        <v>600</v>
      </c>
      <c r="B144" s="10" t="s">
        <v>601</v>
      </c>
      <c r="C144" s="10" t="s">
        <v>602</v>
      </c>
      <c r="D144" s="10" t="s">
        <v>603</v>
      </c>
      <c r="E144" s="10" t="s">
        <v>604</v>
      </c>
      <c r="F144" s="10" t="s">
        <v>20</v>
      </c>
      <c r="G144" s="10">
        <v>795.86</v>
      </c>
    </row>
    <row r="145" spans="1:7" x14ac:dyDescent="0.35">
      <c r="A145" s="10" t="s">
        <v>605</v>
      </c>
      <c r="B145" s="10" t="s">
        <v>75</v>
      </c>
      <c r="C145" s="10" t="s">
        <v>606</v>
      </c>
      <c r="D145" s="10" t="s">
        <v>607</v>
      </c>
      <c r="E145" s="10" t="s">
        <v>608</v>
      </c>
      <c r="F145" s="10" t="s">
        <v>29</v>
      </c>
      <c r="G145" s="10">
        <v>372.22</v>
      </c>
    </row>
    <row r="146" spans="1:7" x14ac:dyDescent="0.35">
      <c r="A146" s="10" t="s">
        <v>609</v>
      </c>
      <c r="B146" s="10" t="s">
        <v>140</v>
      </c>
      <c r="C146" s="10" t="s">
        <v>610</v>
      </c>
      <c r="D146" s="10" t="s">
        <v>611</v>
      </c>
      <c r="E146" s="10" t="s">
        <v>612</v>
      </c>
      <c r="F146" s="10" t="s">
        <v>20</v>
      </c>
      <c r="G146" s="10">
        <v>942.8</v>
      </c>
    </row>
    <row r="147" spans="1:7" x14ac:dyDescent="0.35">
      <c r="A147" s="10" t="s">
        <v>613</v>
      </c>
      <c r="B147" s="10" t="s">
        <v>155</v>
      </c>
      <c r="C147" s="10" t="s">
        <v>614</v>
      </c>
      <c r="D147" s="10" t="s">
        <v>615</v>
      </c>
      <c r="E147" s="10" t="s">
        <v>41</v>
      </c>
      <c r="F147" s="10" t="s">
        <v>24</v>
      </c>
      <c r="G147" s="10">
        <v>-4771</v>
      </c>
    </row>
    <row r="148" spans="1:7" x14ac:dyDescent="0.35">
      <c r="A148" s="10" t="s">
        <v>616</v>
      </c>
      <c r="B148" s="10" t="s">
        <v>303</v>
      </c>
      <c r="C148" s="10" t="s">
        <v>617</v>
      </c>
      <c r="D148" s="10" t="s">
        <v>618</v>
      </c>
      <c r="E148" s="10" t="s">
        <v>41</v>
      </c>
      <c r="F148" s="10" t="s">
        <v>29</v>
      </c>
      <c r="G148" s="10">
        <v>2993.24</v>
      </c>
    </row>
    <row r="149" spans="1:7" x14ac:dyDescent="0.35">
      <c r="A149" s="10" t="s">
        <v>619</v>
      </c>
      <c r="B149" s="10" t="s">
        <v>620</v>
      </c>
      <c r="C149" s="10" t="s">
        <v>621</v>
      </c>
      <c r="D149" s="10" t="s">
        <v>41</v>
      </c>
      <c r="E149" s="10" t="s">
        <v>622</v>
      </c>
      <c r="F149" s="10" t="s">
        <v>22</v>
      </c>
      <c r="G149" s="10">
        <v>824.15</v>
      </c>
    </row>
    <row r="150" spans="1:7" x14ac:dyDescent="0.35">
      <c r="A150" s="10" t="s">
        <v>623</v>
      </c>
      <c r="B150" s="10" t="s">
        <v>624</v>
      </c>
      <c r="C150" s="10" t="s">
        <v>625</v>
      </c>
      <c r="D150" s="10" t="s">
        <v>41</v>
      </c>
      <c r="E150" s="10" t="s">
        <v>626</v>
      </c>
      <c r="F150" s="10" t="s">
        <v>26</v>
      </c>
      <c r="G150" s="10">
        <v>60</v>
      </c>
    </row>
    <row r="151" spans="1:7" x14ac:dyDescent="0.35">
      <c r="A151" s="10" t="s">
        <v>627</v>
      </c>
      <c r="B151" s="10" t="s">
        <v>298</v>
      </c>
      <c r="C151" s="10" t="s">
        <v>628</v>
      </c>
      <c r="D151" s="10" t="s">
        <v>629</v>
      </c>
      <c r="E151" s="10" t="s">
        <v>630</v>
      </c>
      <c r="F151" s="10" t="s">
        <v>27</v>
      </c>
      <c r="G151" s="10">
        <v>197.18</v>
      </c>
    </row>
    <row r="152" spans="1:7" x14ac:dyDescent="0.35">
      <c r="A152" s="10" t="s">
        <v>631</v>
      </c>
      <c r="B152" s="10" t="s">
        <v>632</v>
      </c>
      <c r="C152" s="10" t="s">
        <v>633</v>
      </c>
      <c r="D152" s="10" t="s">
        <v>634</v>
      </c>
      <c r="E152" s="10" t="s">
        <v>635</v>
      </c>
      <c r="F152" s="10" t="s">
        <v>22</v>
      </c>
      <c r="G152" s="10">
        <v>2636.85</v>
      </c>
    </row>
    <row r="153" spans="1:7" x14ac:dyDescent="0.35">
      <c r="A153" s="10" t="s">
        <v>636</v>
      </c>
      <c r="B153" s="10" t="s">
        <v>637</v>
      </c>
      <c r="C153" s="10" t="s">
        <v>638</v>
      </c>
      <c r="D153" s="10" t="s">
        <v>639</v>
      </c>
      <c r="E153" s="10" t="s">
        <v>41</v>
      </c>
      <c r="F153" s="10" t="s">
        <v>26</v>
      </c>
      <c r="G153" s="10">
        <v>-1510</v>
      </c>
    </row>
    <row r="154" spans="1:7" x14ac:dyDescent="0.35">
      <c r="A154" s="10" t="s">
        <v>640</v>
      </c>
      <c r="B154" s="10" t="s">
        <v>641</v>
      </c>
      <c r="C154" s="10" t="s">
        <v>642</v>
      </c>
      <c r="D154" s="10" t="s">
        <v>41</v>
      </c>
      <c r="E154" s="10" t="s">
        <v>643</v>
      </c>
      <c r="F154" s="10" t="s">
        <v>28</v>
      </c>
      <c r="G154" s="10">
        <v>2070.23</v>
      </c>
    </row>
    <row r="155" spans="1:7" x14ac:dyDescent="0.35">
      <c r="A155" s="10" t="s">
        <v>317</v>
      </c>
      <c r="B155" s="10" t="s">
        <v>318</v>
      </c>
      <c r="C155" s="10" t="s">
        <v>319</v>
      </c>
      <c r="D155" s="10" t="s">
        <v>320</v>
      </c>
      <c r="E155" s="10" t="s">
        <v>321</v>
      </c>
      <c r="F155" s="10" t="s">
        <v>20</v>
      </c>
      <c r="G155" s="10">
        <v>2186.8000000000002</v>
      </c>
    </row>
    <row r="156" spans="1:7" x14ac:dyDescent="0.35">
      <c r="A156" s="10" t="s">
        <v>644</v>
      </c>
      <c r="B156" s="10" t="s">
        <v>645</v>
      </c>
      <c r="C156" s="10" t="s">
        <v>41</v>
      </c>
      <c r="D156" s="10" t="s">
        <v>41</v>
      </c>
      <c r="E156" s="10" t="s">
        <v>646</v>
      </c>
      <c r="F156" s="10" t="s">
        <v>26</v>
      </c>
      <c r="G156" s="10">
        <v>1994.84</v>
      </c>
    </row>
    <row r="157" spans="1:7" x14ac:dyDescent="0.35">
      <c r="A157" s="10" t="s">
        <v>647</v>
      </c>
      <c r="B157" s="10" t="s">
        <v>204</v>
      </c>
      <c r="C157" s="10" t="s">
        <v>648</v>
      </c>
      <c r="D157" s="10" t="s">
        <v>649</v>
      </c>
      <c r="E157" s="10" t="s">
        <v>650</v>
      </c>
      <c r="F157" s="10" t="s">
        <v>29</v>
      </c>
      <c r="G157" s="10">
        <v>2938.25</v>
      </c>
    </row>
    <row r="158" spans="1:7" x14ac:dyDescent="0.35">
      <c r="A158" s="10" t="s">
        <v>651</v>
      </c>
      <c r="B158" s="10" t="s">
        <v>177</v>
      </c>
      <c r="C158" s="10" t="s">
        <v>652</v>
      </c>
      <c r="D158" s="10" t="s">
        <v>653</v>
      </c>
      <c r="E158" s="10" t="s">
        <v>654</v>
      </c>
      <c r="F158" s="10" t="s">
        <v>27</v>
      </c>
      <c r="G158" s="10">
        <v>3205</v>
      </c>
    </row>
    <row r="159" spans="1:7" x14ac:dyDescent="0.35">
      <c r="A159" s="10" t="s">
        <v>655</v>
      </c>
      <c r="B159" s="10" t="s">
        <v>461</v>
      </c>
      <c r="C159" s="10" t="s">
        <v>656</v>
      </c>
      <c r="D159" s="10" t="s">
        <v>657</v>
      </c>
      <c r="E159" s="10" t="s">
        <v>658</v>
      </c>
      <c r="F159" s="10" t="s">
        <v>20</v>
      </c>
      <c r="G159" s="10">
        <v>3205.49</v>
      </c>
    </row>
    <row r="160" spans="1:7" x14ac:dyDescent="0.35">
      <c r="A160" s="10" t="s">
        <v>659</v>
      </c>
      <c r="B160" s="10" t="s">
        <v>660</v>
      </c>
      <c r="C160" s="10" t="s">
        <v>41</v>
      </c>
      <c r="D160" s="10" t="s">
        <v>41</v>
      </c>
      <c r="E160" s="10" t="s">
        <v>41</v>
      </c>
      <c r="F160" s="10" t="s">
        <v>26</v>
      </c>
      <c r="G160" s="10">
        <v>2174.46</v>
      </c>
    </row>
    <row r="161" spans="1:7" x14ac:dyDescent="0.35">
      <c r="A161" s="10" t="s">
        <v>661</v>
      </c>
      <c r="B161" s="10" t="s">
        <v>662</v>
      </c>
      <c r="C161" s="10" t="s">
        <v>663</v>
      </c>
      <c r="D161" s="10" t="s">
        <v>664</v>
      </c>
      <c r="E161" s="10" t="s">
        <v>665</v>
      </c>
      <c r="F161" s="10" t="s">
        <v>29</v>
      </c>
      <c r="G161" s="10">
        <v>4726.03</v>
      </c>
    </row>
    <row r="162" spans="1:7" x14ac:dyDescent="0.35">
      <c r="A162" s="10" t="s">
        <v>666</v>
      </c>
      <c r="B162" s="10" t="s">
        <v>368</v>
      </c>
      <c r="C162" s="10" t="s">
        <v>667</v>
      </c>
      <c r="D162" s="10" t="s">
        <v>41</v>
      </c>
      <c r="E162" s="10" t="s">
        <v>41</v>
      </c>
      <c r="F162" s="10" t="s">
        <v>22</v>
      </c>
      <c r="G162" s="10">
        <v>2754.36</v>
      </c>
    </row>
    <row r="163" spans="1:7" x14ac:dyDescent="0.35">
      <c r="A163" s="10" t="s">
        <v>668</v>
      </c>
      <c r="B163" s="10" t="s">
        <v>669</v>
      </c>
      <c r="C163" s="10" t="s">
        <v>670</v>
      </c>
      <c r="D163" s="10" t="s">
        <v>671</v>
      </c>
      <c r="E163" s="10" t="s">
        <v>41</v>
      </c>
      <c r="F163" s="10" t="s">
        <v>22</v>
      </c>
      <c r="G163" s="10">
        <v>544.48</v>
      </c>
    </row>
    <row r="164" spans="1:7" x14ac:dyDescent="0.35">
      <c r="A164" s="10" t="s">
        <v>672</v>
      </c>
      <c r="B164" s="10" t="s">
        <v>660</v>
      </c>
      <c r="C164" s="10" t="s">
        <v>673</v>
      </c>
      <c r="D164" s="10" t="s">
        <v>674</v>
      </c>
      <c r="E164" s="10" t="s">
        <v>675</v>
      </c>
      <c r="F164" s="10" t="s">
        <v>26</v>
      </c>
      <c r="G164" s="10">
        <v>3357</v>
      </c>
    </row>
    <row r="165" spans="1:7" x14ac:dyDescent="0.35">
      <c r="A165" s="10" t="s">
        <v>676</v>
      </c>
      <c r="B165" s="10" t="s">
        <v>677</v>
      </c>
      <c r="C165" s="10" t="s">
        <v>678</v>
      </c>
      <c r="D165" s="10" t="s">
        <v>679</v>
      </c>
      <c r="E165" s="10" t="s">
        <v>680</v>
      </c>
      <c r="F165" s="10" t="s">
        <v>22</v>
      </c>
      <c r="G165" s="10">
        <v>4251.75</v>
      </c>
    </row>
    <row r="166" spans="1:7" x14ac:dyDescent="0.35">
      <c r="A166" s="10" t="s">
        <v>681</v>
      </c>
      <c r="B166" s="10" t="s">
        <v>682</v>
      </c>
      <c r="C166" s="10" t="s">
        <v>683</v>
      </c>
      <c r="D166" s="10" t="s">
        <v>684</v>
      </c>
      <c r="E166" s="10" t="s">
        <v>685</v>
      </c>
      <c r="F166" s="10" t="s">
        <v>24</v>
      </c>
      <c r="G166" s="10">
        <v>4689.92</v>
      </c>
    </row>
    <row r="167" spans="1:7" x14ac:dyDescent="0.35">
      <c r="A167" s="10" t="s">
        <v>686</v>
      </c>
      <c r="B167" s="10" t="s">
        <v>331</v>
      </c>
      <c r="C167" s="10" t="s">
        <v>41</v>
      </c>
      <c r="D167" s="10" t="s">
        <v>687</v>
      </c>
      <c r="E167" s="10" t="s">
        <v>688</v>
      </c>
      <c r="F167" s="10" t="s">
        <v>29</v>
      </c>
      <c r="G167" s="10">
        <v>4321.13</v>
      </c>
    </row>
    <row r="168" spans="1:7" x14ac:dyDescent="0.35">
      <c r="A168" s="10" t="s">
        <v>689</v>
      </c>
      <c r="B168" s="10" t="s">
        <v>690</v>
      </c>
      <c r="C168" s="10" t="s">
        <v>691</v>
      </c>
      <c r="D168" s="10" t="s">
        <v>692</v>
      </c>
      <c r="E168" s="10" t="s">
        <v>693</v>
      </c>
      <c r="F168" s="10" t="s">
        <v>29</v>
      </c>
      <c r="G168" s="10">
        <v>4223.7299999999996</v>
      </c>
    </row>
    <row r="169" spans="1:7" x14ac:dyDescent="0.35">
      <c r="A169" s="10" t="s">
        <v>694</v>
      </c>
      <c r="B169" s="10" t="s">
        <v>288</v>
      </c>
      <c r="C169" s="10" t="s">
        <v>695</v>
      </c>
      <c r="D169" s="10" t="s">
        <v>696</v>
      </c>
      <c r="E169" s="10" t="s">
        <v>697</v>
      </c>
      <c r="F169" s="10" t="s">
        <v>26</v>
      </c>
      <c r="G169" s="10">
        <v>372.88</v>
      </c>
    </row>
    <row r="170" spans="1:7" x14ac:dyDescent="0.35">
      <c r="A170" s="10" t="s">
        <v>698</v>
      </c>
      <c r="B170" s="10" t="s">
        <v>699</v>
      </c>
      <c r="C170" s="10" t="s">
        <v>700</v>
      </c>
      <c r="D170" s="10" t="s">
        <v>41</v>
      </c>
      <c r="E170" s="10" t="s">
        <v>701</v>
      </c>
      <c r="F170" s="10" t="s">
        <v>26</v>
      </c>
      <c r="G170" s="10">
        <v>4334.05</v>
      </c>
    </row>
    <row r="171" spans="1:7" x14ac:dyDescent="0.35">
      <c r="A171" s="10" t="s">
        <v>702</v>
      </c>
      <c r="B171" s="10" t="s">
        <v>703</v>
      </c>
      <c r="C171" s="10" t="s">
        <v>704</v>
      </c>
      <c r="D171" s="10" t="s">
        <v>705</v>
      </c>
      <c r="E171" s="10" t="s">
        <v>706</v>
      </c>
      <c r="F171" s="10" t="s">
        <v>28</v>
      </c>
      <c r="G171" s="10">
        <v>1700.37</v>
      </c>
    </row>
    <row r="172" spans="1:7" x14ac:dyDescent="0.35">
      <c r="A172" s="10" t="s">
        <v>707</v>
      </c>
      <c r="B172" s="10" t="s">
        <v>708</v>
      </c>
      <c r="C172" s="10" t="s">
        <v>709</v>
      </c>
      <c r="D172" s="10" t="s">
        <v>710</v>
      </c>
      <c r="E172" s="10" t="s">
        <v>711</v>
      </c>
      <c r="F172" s="10" t="s">
        <v>22</v>
      </c>
      <c r="G172" s="10">
        <v>681.21</v>
      </c>
    </row>
    <row r="173" spans="1:7" x14ac:dyDescent="0.35">
      <c r="A173" s="10" t="s">
        <v>712</v>
      </c>
      <c r="B173" s="10" t="s">
        <v>713</v>
      </c>
      <c r="C173" s="10" t="s">
        <v>714</v>
      </c>
      <c r="D173" s="10" t="s">
        <v>715</v>
      </c>
      <c r="E173" s="10" t="s">
        <v>41</v>
      </c>
      <c r="F173" s="10" t="s">
        <v>22</v>
      </c>
      <c r="G173" s="10">
        <v>3475.28</v>
      </c>
    </row>
    <row r="174" spans="1:7" x14ac:dyDescent="0.35">
      <c r="A174" s="10" t="s">
        <v>716</v>
      </c>
      <c r="B174" s="10" t="s">
        <v>53</v>
      </c>
      <c r="C174" s="10" t="s">
        <v>717</v>
      </c>
      <c r="D174" s="10" t="s">
        <v>718</v>
      </c>
      <c r="E174" s="10" t="s">
        <v>719</v>
      </c>
      <c r="F174" s="10" t="s">
        <v>29</v>
      </c>
      <c r="G174" s="10">
        <v>875.46</v>
      </c>
    </row>
    <row r="175" spans="1:7" x14ac:dyDescent="0.35">
      <c r="A175" s="10" t="s">
        <v>720</v>
      </c>
      <c r="B175" s="10" t="s">
        <v>721</v>
      </c>
      <c r="C175" s="10" t="s">
        <v>722</v>
      </c>
      <c r="D175" s="10" t="s">
        <v>723</v>
      </c>
      <c r="E175" s="10" t="s">
        <v>724</v>
      </c>
      <c r="F175" s="10" t="s">
        <v>20</v>
      </c>
      <c r="G175" s="10">
        <v>0</v>
      </c>
    </row>
    <row r="176" spans="1:7" x14ac:dyDescent="0.35">
      <c r="A176" s="10" t="s">
        <v>725</v>
      </c>
      <c r="B176" s="10" t="s">
        <v>726</v>
      </c>
      <c r="C176" s="10" t="s">
        <v>727</v>
      </c>
      <c r="D176" s="10" t="s">
        <v>728</v>
      </c>
      <c r="E176" s="10" t="s">
        <v>729</v>
      </c>
      <c r="F176" s="10" t="s">
        <v>27</v>
      </c>
      <c r="G176" s="10">
        <v>0</v>
      </c>
    </row>
    <row r="177" spans="1:7" x14ac:dyDescent="0.35">
      <c r="A177" s="10" t="s">
        <v>730</v>
      </c>
      <c r="B177" s="10" t="s">
        <v>234</v>
      </c>
      <c r="C177" s="10" t="s">
        <v>731</v>
      </c>
      <c r="D177" s="10" t="s">
        <v>732</v>
      </c>
      <c r="E177" s="10" t="s">
        <v>733</v>
      </c>
      <c r="F177" s="10" t="s">
        <v>29</v>
      </c>
      <c r="G177" s="10">
        <v>2698.26</v>
      </c>
    </row>
    <row r="178" spans="1:7" x14ac:dyDescent="0.35">
      <c r="A178" s="10" t="s">
        <v>734</v>
      </c>
      <c r="B178" s="10" t="s">
        <v>735</v>
      </c>
      <c r="C178" s="10" t="s">
        <v>736</v>
      </c>
      <c r="D178" s="10" t="s">
        <v>737</v>
      </c>
      <c r="E178" s="10" t="s">
        <v>41</v>
      </c>
      <c r="F178" s="10" t="s">
        <v>29</v>
      </c>
      <c r="G178" s="10">
        <v>90.34</v>
      </c>
    </row>
    <row r="179" spans="1:7" x14ac:dyDescent="0.35">
      <c r="A179" s="10" t="s">
        <v>738</v>
      </c>
      <c r="B179" s="10" t="s">
        <v>739</v>
      </c>
      <c r="C179" s="10" t="s">
        <v>740</v>
      </c>
      <c r="D179" s="10" t="s">
        <v>741</v>
      </c>
      <c r="E179" s="10" t="s">
        <v>742</v>
      </c>
      <c r="F179" s="10" t="s">
        <v>24</v>
      </c>
      <c r="G179" s="10">
        <v>4741.95</v>
      </c>
    </row>
    <row r="180" spans="1:7" x14ac:dyDescent="0.35">
      <c r="A180" s="10" t="s">
        <v>743</v>
      </c>
      <c r="B180" s="10" t="s">
        <v>445</v>
      </c>
      <c r="C180" s="10" t="s">
        <v>744</v>
      </c>
      <c r="D180" s="10" t="s">
        <v>41</v>
      </c>
      <c r="E180" s="10" t="s">
        <v>745</v>
      </c>
      <c r="F180" s="10" t="s">
        <v>29</v>
      </c>
      <c r="G180" s="10">
        <v>1690.01</v>
      </c>
    </row>
    <row r="181" spans="1:7" x14ac:dyDescent="0.35">
      <c r="A181" s="10" t="s">
        <v>746</v>
      </c>
      <c r="B181" s="10" t="s">
        <v>747</v>
      </c>
      <c r="C181" s="10" t="s">
        <v>748</v>
      </c>
      <c r="D181" s="10" t="s">
        <v>749</v>
      </c>
      <c r="E181" s="10" t="s">
        <v>41</v>
      </c>
      <c r="F181" s="10" t="s">
        <v>22</v>
      </c>
      <c r="G181" s="10">
        <v>1282.49</v>
      </c>
    </row>
    <row r="182" spans="1:7" x14ac:dyDescent="0.35">
      <c r="A182" s="10" t="s">
        <v>750</v>
      </c>
      <c r="B182" s="10" t="s">
        <v>597</v>
      </c>
      <c r="C182" s="10" t="s">
        <v>751</v>
      </c>
      <c r="D182" s="10" t="s">
        <v>752</v>
      </c>
      <c r="E182" s="10" t="s">
        <v>753</v>
      </c>
      <c r="F182" s="10" t="s">
        <v>29</v>
      </c>
      <c r="G182" s="10">
        <v>4075.73</v>
      </c>
    </row>
    <row r="183" spans="1:7" x14ac:dyDescent="0.35">
      <c r="A183" s="10" t="s">
        <v>754</v>
      </c>
      <c r="B183" s="10" t="s">
        <v>532</v>
      </c>
      <c r="C183" s="10" t="s">
        <v>755</v>
      </c>
      <c r="D183" s="10" t="s">
        <v>756</v>
      </c>
      <c r="E183" s="10" t="s">
        <v>757</v>
      </c>
      <c r="F183" s="10" t="s">
        <v>27</v>
      </c>
      <c r="G183" s="10">
        <v>2224.4</v>
      </c>
    </row>
    <row r="184" spans="1:7" x14ac:dyDescent="0.35">
      <c r="A184" s="10" t="s">
        <v>758</v>
      </c>
      <c r="B184" s="10" t="s">
        <v>735</v>
      </c>
      <c r="C184" s="10" t="s">
        <v>759</v>
      </c>
      <c r="D184" s="10" t="s">
        <v>760</v>
      </c>
      <c r="E184" s="10" t="s">
        <v>761</v>
      </c>
      <c r="F184" s="10" t="s">
        <v>26</v>
      </c>
      <c r="G184" s="10">
        <v>3240.47</v>
      </c>
    </row>
    <row r="185" spans="1:7" x14ac:dyDescent="0.35">
      <c r="A185" s="10" t="s">
        <v>762</v>
      </c>
      <c r="B185" s="10" t="s">
        <v>763</v>
      </c>
      <c r="C185" s="10" t="s">
        <v>764</v>
      </c>
      <c r="D185" s="10" t="s">
        <v>765</v>
      </c>
      <c r="E185" s="10" t="s">
        <v>766</v>
      </c>
      <c r="F185" s="10" t="s">
        <v>26</v>
      </c>
      <c r="G185" s="10">
        <v>0</v>
      </c>
    </row>
    <row r="186" spans="1:7" x14ac:dyDescent="0.35">
      <c r="A186" s="10" t="s">
        <v>767</v>
      </c>
      <c r="B186" s="10" t="s">
        <v>75</v>
      </c>
      <c r="C186" s="10" t="s">
        <v>768</v>
      </c>
      <c r="D186" s="10" t="s">
        <v>769</v>
      </c>
      <c r="E186" s="10" t="s">
        <v>770</v>
      </c>
      <c r="F186" s="10" t="s">
        <v>27</v>
      </c>
      <c r="G186" s="10">
        <v>0</v>
      </c>
    </row>
    <row r="187" spans="1:7" x14ac:dyDescent="0.35">
      <c r="A187" s="10" t="s">
        <v>771</v>
      </c>
      <c r="B187" s="10" t="s">
        <v>772</v>
      </c>
      <c r="C187" s="10" t="s">
        <v>773</v>
      </c>
      <c r="D187" s="10" t="s">
        <v>774</v>
      </c>
      <c r="E187" s="10" t="s">
        <v>775</v>
      </c>
      <c r="F187" s="10" t="s">
        <v>29</v>
      </c>
      <c r="G187" s="10">
        <v>61.99</v>
      </c>
    </row>
    <row r="188" spans="1:7" x14ac:dyDescent="0.35">
      <c r="A188" s="10" t="s">
        <v>776</v>
      </c>
      <c r="B188" s="10" t="s">
        <v>777</v>
      </c>
      <c r="C188" s="10" t="s">
        <v>778</v>
      </c>
      <c r="D188" s="10" t="s">
        <v>41</v>
      </c>
      <c r="E188" s="10" t="s">
        <v>779</v>
      </c>
      <c r="F188" s="10" t="s">
        <v>28</v>
      </c>
      <c r="G188" s="10">
        <v>4632.66</v>
      </c>
    </row>
    <row r="189" spans="1:7" x14ac:dyDescent="0.35">
      <c r="A189" s="10" t="s">
        <v>780</v>
      </c>
      <c r="B189" s="10" t="s">
        <v>747</v>
      </c>
      <c r="C189" s="10" t="s">
        <v>781</v>
      </c>
      <c r="D189" s="10" t="s">
        <v>782</v>
      </c>
      <c r="E189" s="10" t="s">
        <v>783</v>
      </c>
      <c r="F189" s="10" t="s">
        <v>27</v>
      </c>
      <c r="G189" s="10">
        <v>337.65</v>
      </c>
    </row>
    <row r="190" spans="1:7" x14ac:dyDescent="0.35">
      <c r="A190" s="10" t="s">
        <v>784</v>
      </c>
      <c r="B190" s="10" t="s">
        <v>785</v>
      </c>
      <c r="C190" s="10" t="s">
        <v>786</v>
      </c>
      <c r="D190" s="10" t="s">
        <v>787</v>
      </c>
      <c r="E190" s="10" t="s">
        <v>788</v>
      </c>
      <c r="F190" s="10" t="s">
        <v>26</v>
      </c>
      <c r="G190" s="10">
        <v>2892.72</v>
      </c>
    </row>
    <row r="191" spans="1:7" x14ac:dyDescent="0.35">
      <c r="A191" s="10" t="s">
        <v>789</v>
      </c>
      <c r="B191" s="10" t="s">
        <v>790</v>
      </c>
      <c r="C191" s="10" t="s">
        <v>791</v>
      </c>
      <c r="D191" s="10" t="s">
        <v>792</v>
      </c>
      <c r="E191" s="10" t="s">
        <v>793</v>
      </c>
      <c r="F191" s="10" t="s">
        <v>29</v>
      </c>
      <c r="G191" s="10">
        <v>3522.29</v>
      </c>
    </row>
    <row r="192" spans="1:7" x14ac:dyDescent="0.35">
      <c r="A192" s="10" t="s">
        <v>794</v>
      </c>
      <c r="B192" s="10" t="s">
        <v>795</v>
      </c>
      <c r="C192" s="10" t="s">
        <v>796</v>
      </c>
      <c r="D192" s="10" t="s">
        <v>41</v>
      </c>
      <c r="E192" s="10" t="s">
        <v>797</v>
      </c>
      <c r="F192" s="10" t="s">
        <v>28</v>
      </c>
      <c r="G192" s="10">
        <v>0</v>
      </c>
    </row>
    <row r="193" spans="1:7" x14ac:dyDescent="0.35">
      <c r="A193" s="10" t="s">
        <v>798</v>
      </c>
      <c r="B193" s="10" t="s">
        <v>101</v>
      </c>
      <c r="C193" s="10" t="s">
        <v>41</v>
      </c>
      <c r="D193" s="10" t="s">
        <v>41</v>
      </c>
      <c r="E193" s="10" t="s">
        <v>799</v>
      </c>
      <c r="F193" s="10" t="s">
        <v>27</v>
      </c>
      <c r="G193" s="10">
        <v>2123.5100000000002</v>
      </c>
    </row>
    <row r="194" spans="1:7" x14ac:dyDescent="0.35">
      <c r="A194" s="10" t="s">
        <v>800</v>
      </c>
      <c r="B194" s="10" t="s">
        <v>739</v>
      </c>
      <c r="C194" s="10" t="s">
        <v>801</v>
      </c>
      <c r="D194" s="10" t="s">
        <v>41</v>
      </c>
      <c r="E194" s="10" t="s">
        <v>802</v>
      </c>
      <c r="F194" s="10" t="s">
        <v>20</v>
      </c>
      <c r="G194" s="10">
        <v>1464.73</v>
      </c>
    </row>
    <row r="195" spans="1:7" x14ac:dyDescent="0.35">
      <c r="A195" s="10" t="s">
        <v>803</v>
      </c>
      <c r="B195" s="10" t="s">
        <v>804</v>
      </c>
      <c r="C195" s="10" t="s">
        <v>805</v>
      </c>
      <c r="D195" s="10" t="s">
        <v>806</v>
      </c>
      <c r="E195" s="10" t="s">
        <v>807</v>
      </c>
      <c r="F195" s="10" t="s">
        <v>29</v>
      </c>
      <c r="G195" s="10">
        <v>4759.45</v>
      </c>
    </row>
    <row r="196" spans="1:7" x14ac:dyDescent="0.35">
      <c r="A196" s="10" t="s">
        <v>808</v>
      </c>
      <c r="B196" s="10" t="s">
        <v>532</v>
      </c>
      <c r="C196" s="10" t="s">
        <v>809</v>
      </c>
      <c r="D196" s="10" t="s">
        <v>810</v>
      </c>
      <c r="E196" s="10" t="s">
        <v>811</v>
      </c>
      <c r="F196" s="10" t="s">
        <v>26</v>
      </c>
      <c r="G196" s="10">
        <v>1449</v>
      </c>
    </row>
    <row r="197" spans="1:7" x14ac:dyDescent="0.35">
      <c r="A197" s="10" t="s">
        <v>812</v>
      </c>
      <c r="B197" s="10" t="s">
        <v>368</v>
      </c>
      <c r="C197" s="10" t="s">
        <v>813</v>
      </c>
      <c r="D197" s="10" t="s">
        <v>814</v>
      </c>
      <c r="E197" s="10" t="s">
        <v>815</v>
      </c>
      <c r="F197" s="10" t="s">
        <v>28</v>
      </c>
      <c r="G197" s="10">
        <v>418.92</v>
      </c>
    </row>
    <row r="198" spans="1:7" x14ac:dyDescent="0.35">
      <c r="A198" s="10" t="s">
        <v>816</v>
      </c>
      <c r="B198" s="10" t="s">
        <v>817</v>
      </c>
      <c r="C198" s="10" t="s">
        <v>818</v>
      </c>
      <c r="D198" s="10" t="s">
        <v>819</v>
      </c>
      <c r="E198" s="10" t="s">
        <v>820</v>
      </c>
      <c r="F198" s="10" t="s">
        <v>22</v>
      </c>
      <c r="G198" s="10">
        <v>4121.95</v>
      </c>
    </row>
    <row r="199" spans="1:7" x14ac:dyDescent="0.35">
      <c r="A199" s="10" t="s">
        <v>821</v>
      </c>
      <c r="B199" s="10" t="s">
        <v>822</v>
      </c>
      <c r="C199" s="10" t="s">
        <v>823</v>
      </c>
      <c r="D199" s="10" t="s">
        <v>824</v>
      </c>
      <c r="E199" s="10" t="s">
        <v>41</v>
      </c>
      <c r="F199" s="10" t="s">
        <v>26</v>
      </c>
      <c r="G199" s="10">
        <v>3995</v>
      </c>
    </row>
    <row r="200" spans="1:7" x14ac:dyDescent="0.35">
      <c r="A200" s="10" t="s">
        <v>825</v>
      </c>
      <c r="B200" s="10" t="s">
        <v>58</v>
      </c>
      <c r="C200" s="10" t="s">
        <v>826</v>
      </c>
      <c r="D200" s="10" t="s">
        <v>827</v>
      </c>
      <c r="E200" s="10" t="s">
        <v>828</v>
      </c>
      <c r="F200" s="10" t="s">
        <v>29</v>
      </c>
      <c r="G200" s="10">
        <v>512.27</v>
      </c>
    </row>
    <row r="201" spans="1:7" x14ac:dyDescent="0.35">
      <c r="A201" s="10" t="s">
        <v>829</v>
      </c>
      <c r="B201" s="10" t="s">
        <v>101</v>
      </c>
      <c r="C201" s="10" t="s">
        <v>830</v>
      </c>
      <c r="D201" s="10" t="s">
        <v>831</v>
      </c>
      <c r="E201" s="10" t="s">
        <v>41</v>
      </c>
      <c r="F201" s="10" t="s">
        <v>29</v>
      </c>
      <c r="G201" s="10">
        <v>1958</v>
      </c>
    </row>
    <row r="202" spans="1:7" x14ac:dyDescent="0.35">
      <c r="A202" s="10" t="s">
        <v>832</v>
      </c>
      <c r="B202" s="10" t="s">
        <v>234</v>
      </c>
      <c r="C202" s="10" t="s">
        <v>833</v>
      </c>
      <c r="D202" s="10" t="s">
        <v>834</v>
      </c>
      <c r="E202" s="10" t="s">
        <v>41</v>
      </c>
      <c r="F202" s="10" t="s">
        <v>22</v>
      </c>
      <c r="G202" s="10">
        <v>-3522</v>
      </c>
    </row>
    <row r="203" spans="1:7" x14ac:dyDescent="0.35">
      <c r="A203" s="10" t="s">
        <v>835</v>
      </c>
      <c r="B203" s="10" t="s">
        <v>836</v>
      </c>
      <c r="C203" s="10" t="s">
        <v>837</v>
      </c>
      <c r="D203" s="10" t="s">
        <v>838</v>
      </c>
      <c r="E203" s="10" t="s">
        <v>839</v>
      </c>
      <c r="F203" s="10" t="s">
        <v>29</v>
      </c>
      <c r="G203" s="10">
        <v>3694.07</v>
      </c>
    </row>
    <row r="204" spans="1:7" x14ac:dyDescent="0.35">
      <c r="A204" s="10" t="s">
        <v>840</v>
      </c>
      <c r="B204" s="10" t="s">
        <v>58</v>
      </c>
      <c r="C204" s="10" t="s">
        <v>841</v>
      </c>
      <c r="D204" s="10" t="s">
        <v>842</v>
      </c>
      <c r="E204" s="10" t="s">
        <v>41</v>
      </c>
      <c r="F204" s="10" t="s">
        <v>26</v>
      </c>
      <c r="G204" s="10">
        <v>2825.09</v>
      </c>
    </row>
    <row r="205" spans="1:7" x14ac:dyDescent="0.35">
      <c r="A205" s="10" t="s">
        <v>843</v>
      </c>
      <c r="B205" s="10" t="s">
        <v>101</v>
      </c>
      <c r="C205" s="10" t="s">
        <v>844</v>
      </c>
      <c r="D205" s="10" t="s">
        <v>845</v>
      </c>
      <c r="E205" s="10" t="s">
        <v>846</v>
      </c>
      <c r="F205" s="10" t="s">
        <v>28</v>
      </c>
      <c r="G205" s="10">
        <v>2301.8200000000002</v>
      </c>
    </row>
    <row r="206" spans="1:7" x14ac:dyDescent="0.35">
      <c r="A206" s="10" t="s">
        <v>847</v>
      </c>
      <c r="B206" s="10" t="s">
        <v>848</v>
      </c>
      <c r="C206" s="10" t="s">
        <v>849</v>
      </c>
      <c r="D206" s="10" t="s">
        <v>41</v>
      </c>
      <c r="E206" s="10" t="s">
        <v>850</v>
      </c>
      <c r="F206" s="10" t="s">
        <v>28</v>
      </c>
      <c r="G206" s="10">
        <v>3046.38</v>
      </c>
    </row>
    <row r="207" spans="1:7" x14ac:dyDescent="0.35">
      <c r="A207" s="10" t="s">
        <v>851</v>
      </c>
      <c r="B207" s="10" t="s">
        <v>450</v>
      </c>
      <c r="C207" s="10" t="s">
        <v>852</v>
      </c>
      <c r="D207" s="10" t="s">
        <v>41</v>
      </c>
      <c r="E207" s="10" t="s">
        <v>853</v>
      </c>
      <c r="F207" s="10" t="s">
        <v>24</v>
      </c>
      <c r="G207" s="10">
        <v>690.04</v>
      </c>
    </row>
    <row r="208" spans="1:7" x14ac:dyDescent="0.35">
      <c r="A208" s="10" t="s">
        <v>854</v>
      </c>
      <c r="B208" s="10" t="s">
        <v>364</v>
      </c>
      <c r="C208" s="10" t="s">
        <v>855</v>
      </c>
      <c r="D208" s="10" t="s">
        <v>856</v>
      </c>
      <c r="E208" s="10" t="s">
        <v>857</v>
      </c>
      <c r="F208" s="10" t="s">
        <v>29</v>
      </c>
      <c r="G208" s="10">
        <v>3705.45</v>
      </c>
    </row>
    <row r="209" spans="1:7" x14ac:dyDescent="0.35">
      <c r="A209" s="10" t="s">
        <v>858</v>
      </c>
      <c r="B209" s="10" t="s">
        <v>859</v>
      </c>
      <c r="C209" s="10" t="s">
        <v>860</v>
      </c>
      <c r="D209" s="10" t="s">
        <v>861</v>
      </c>
      <c r="E209" s="10" t="s">
        <v>41</v>
      </c>
      <c r="F209" s="10" t="s">
        <v>26</v>
      </c>
      <c r="G209" s="10">
        <v>132.53</v>
      </c>
    </row>
    <row r="210" spans="1:7" x14ac:dyDescent="0.35">
      <c r="A210" s="10" t="s">
        <v>862</v>
      </c>
      <c r="B210" s="10" t="s">
        <v>863</v>
      </c>
      <c r="C210" s="10" t="s">
        <v>864</v>
      </c>
      <c r="D210" s="10" t="s">
        <v>865</v>
      </c>
      <c r="E210" s="10" t="s">
        <v>41</v>
      </c>
      <c r="F210" s="10" t="s">
        <v>29</v>
      </c>
      <c r="G210" s="10">
        <v>1835.79</v>
      </c>
    </row>
    <row r="211" spans="1:7" x14ac:dyDescent="0.35">
      <c r="A211" s="10" t="s">
        <v>866</v>
      </c>
      <c r="B211" s="10" t="s">
        <v>867</v>
      </c>
      <c r="C211" s="10" t="s">
        <v>41</v>
      </c>
      <c r="D211" s="10" t="s">
        <v>868</v>
      </c>
      <c r="E211" s="10" t="s">
        <v>869</v>
      </c>
      <c r="F211" s="10" t="s">
        <v>28</v>
      </c>
      <c r="G211" s="10">
        <v>2358.0500000000002</v>
      </c>
    </row>
    <row r="212" spans="1:7" x14ac:dyDescent="0.35">
      <c r="A212" s="10" t="s">
        <v>870</v>
      </c>
      <c r="B212" s="10" t="s">
        <v>105</v>
      </c>
      <c r="C212" s="10" t="s">
        <v>41</v>
      </c>
      <c r="D212" s="10" t="s">
        <v>41</v>
      </c>
      <c r="E212" s="10" t="s">
        <v>41</v>
      </c>
      <c r="F212" s="10" t="s">
        <v>26</v>
      </c>
      <c r="G212" s="10">
        <v>3616.71</v>
      </c>
    </row>
    <row r="213" spans="1:7" x14ac:dyDescent="0.35">
      <c r="A213" s="10" t="s">
        <v>871</v>
      </c>
      <c r="B213" s="10" t="s">
        <v>872</v>
      </c>
      <c r="C213" s="10" t="s">
        <v>873</v>
      </c>
      <c r="D213" s="10" t="s">
        <v>41</v>
      </c>
      <c r="E213" s="10" t="s">
        <v>874</v>
      </c>
      <c r="F213" s="10" t="s">
        <v>27</v>
      </c>
      <c r="G213" s="10">
        <v>3321.74</v>
      </c>
    </row>
    <row r="214" spans="1:7" x14ac:dyDescent="0.35">
      <c r="A214" s="10" t="s">
        <v>875</v>
      </c>
      <c r="B214" s="10" t="s">
        <v>136</v>
      </c>
      <c r="C214" s="10" t="s">
        <v>876</v>
      </c>
      <c r="D214" s="10" t="s">
        <v>877</v>
      </c>
      <c r="E214" s="10" t="s">
        <v>878</v>
      </c>
      <c r="F214" s="10" t="s">
        <v>28</v>
      </c>
      <c r="G214" s="10">
        <v>3657.91</v>
      </c>
    </row>
    <row r="215" spans="1:7" x14ac:dyDescent="0.35">
      <c r="A215" s="10" t="s">
        <v>879</v>
      </c>
      <c r="B215" s="10" t="s">
        <v>303</v>
      </c>
      <c r="C215" s="10" t="s">
        <v>880</v>
      </c>
      <c r="D215" s="10" t="s">
        <v>881</v>
      </c>
      <c r="E215" s="10" t="s">
        <v>882</v>
      </c>
      <c r="F215" s="10" t="s">
        <v>26</v>
      </c>
      <c r="G215" s="10">
        <v>4047.93</v>
      </c>
    </row>
    <row r="216" spans="1:7" x14ac:dyDescent="0.35">
      <c r="A216" s="10" t="s">
        <v>883</v>
      </c>
      <c r="B216" s="10" t="s">
        <v>67</v>
      </c>
      <c r="C216" s="10" t="s">
        <v>884</v>
      </c>
      <c r="D216" s="10" t="s">
        <v>41</v>
      </c>
      <c r="E216" s="10" t="s">
        <v>885</v>
      </c>
      <c r="F216" s="10" t="s">
        <v>27</v>
      </c>
      <c r="G216" s="10">
        <v>2576.1999999999998</v>
      </c>
    </row>
    <row r="217" spans="1:7" x14ac:dyDescent="0.35">
      <c r="A217" s="10" t="s">
        <v>886</v>
      </c>
      <c r="B217" s="10" t="s">
        <v>887</v>
      </c>
      <c r="C217" s="10" t="s">
        <v>888</v>
      </c>
      <c r="D217" s="10" t="s">
        <v>889</v>
      </c>
      <c r="E217" s="10" t="s">
        <v>890</v>
      </c>
      <c r="F217" s="10" t="s">
        <v>28</v>
      </c>
      <c r="G217" s="10">
        <v>0</v>
      </c>
    </row>
    <row r="218" spans="1:7" x14ac:dyDescent="0.35">
      <c r="A218" s="10" t="s">
        <v>891</v>
      </c>
      <c r="B218" s="10" t="s">
        <v>364</v>
      </c>
      <c r="C218" s="10" t="s">
        <v>892</v>
      </c>
      <c r="D218" s="10" t="s">
        <v>893</v>
      </c>
      <c r="E218" s="10" t="s">
        <v>894</v>
      </c>
      <c r="F218" s="10" t="s">
        <v>28</v>
      </c>
      <c r="G218" s="10">
        <v>4484.45</v>
      </c>
    </row>
    <row r="219" spans="1:7" x14ac:dyDescent="0.35">
      <c r="A219" s="10" t="s">
        <v>895</v>
      </c>
      <c r="B219" s="10" t="s">
        <v>499</v>
      </c>
      <c r="C219" s="10" t="s">
        <v>896</v>
      </c>
      <c r="D219" s="10" t="s">
        <v>41</v>
      </c>
      <c r="E219" s="10" t="s">
        <v>701</v>
      </c>
      <c r="F219" s="10" t="s">
        <v>20</v>
      </c>
      <c r="G219" s="10">
        <v>853.87</v>
      </c>
    </row>
    <row r="220" spans="1:7" x14ac:dyDescent="0.35">
      <c r="A220" s="10" t="s">
        <v>897</v>
      </c>
      <c r="B220" s="10" t="s">
        <v>898</v>
      </c>
      <c r="C220" s="10" t="s">
        <v>899</v>
      </c>
      <c r="D220" s="10" t="s">
        <v>900</v>
      </c>
      <c r="E220" s="10" t="s">
        <v>901</v>
      </c>
      <c r="F220" s="10" t="s">
        <v>29</v>
      </c>
      <c r="G220" s="10">
        <v>1902.13</v>
      </c>
    </row>
    <row r="221" spans="1:7" x14ac:dyDescent="0.35">
      <c r="A221" s="10" t="s">
        <v>902</v>
      </c>
      <c r="B221" s="10" t="s">
        <v>903</v>
      </c>
      <c r="C221" s="10" t="s">
        <v>904</v>
      </c>
      <c r="D221" s="10" t="s">
        <v>905</v>
      </c>
      <c r="E221" s="10" t="s">
        <v>41</v>
      </c>
      <c r="F221" s="10" t="s">
        <v>26</v>
      </c>
      <c r="G221" s="10">
        <v>2178.65</v>
      </c>
    </row>
    <row r="222" spans="1:7" x14ac:dyDescent="0.35">
      <c r="A222" s="10" t="s">
        <v>906</v>
      </c>
      <c r="B222" s="10" t="s">
        <v>191</v>
      </c>
      <c r="C222" s="10" t="s">
        <v>907</v>
      </c>
      <c r="D222" s="10" t="s">
        <v>908</v>
      </c>
      <c r="E222" s="10" t="s">
        <v>41</v>
      </c>
      <c r="F222" s="10" t="s">
        <v>20</v>
      </c>
      <c r="G222" s="10">
        <v>1891.14</v>
      </c>
    </row>
    <row r="223" spans="1:7" x14ac:dyDescent="0.35">
      <c r="A223" s="10" t="s">
        <v>909</v>
      </c>
      <c r="B223" s="10" t="s">
        <v>110</v>
      </c>
      <c r="C223" s="10" t="s">
        <v>910</v>
      </c>
      <c r="D223" s="10" t="s">
        <v>41</v>
      </c>
      <c r="E223" s="10" t="s">
        <v>911</v>
      </c>
      <c r="F223" s="10" t="s">
        <v>28</v>
      </c>
      <c r="G223" s="10">
        <v>719.55</v>
      </c>
    </row>
    <row r="224" spans="1:7" x14ac:dyDescent="0.35">
      <c r="A224" s="10" t="s">
        <v>912</v>
      </c>
      <c r="B224" s="10" t="s">
        <v>393</v>
      </c>
      <c r="C224" s="10" t="s">
        <v>913</v>
      </c>
      <c r="D224" s="10" t="s">
        <v>41</v>
      </c>
      <c r="E224" s="10" t="s">
        <v>41</v>
      </c>
      <c r="F224" s="10" t="s">
        <v>26</v>
      </c>
      <c r="G224" s="10">
        <v>-3023</v>
      </c>
    </row>
    <row r="225" spans="1:7" x14ac:dyDescent="0.35">
      <c r="A225" s="10" t="s">
        <v>914</v>
      </c>
      <c r="B225" s="10" t="s">
        <v>150</v>
      </c>
      <c r="C225" s="10" t="s">
        <v>915</v>
      </c>
      <c r="D225" s="10" t="s">
        <v>916</v>
      </c>
      <c r="E225" s="10" t="s">
        <v>917</v>
      </c>
      <c r="F225" s="10" t="s">
        <v>22</v>
      </c>
      <c r="G225" s="10">
        <v>937.8</v>
      </c>
    </row>
    <row r="226" spans="1:7" x14ac:dyDescent="0.35">
      <c r="A226" s="10" t="s">
        <v>918</v>
      </c>
      <c r="B226" s="10" t="s">
        <v>919</v>
      </c>
      <c r="C226" s="10" t="s">
        <v>920</v>
      </c>
      <c r="D226" s="10" t="s">
        <v>921</v>
      </c>
      <c r="E226" s="10" t="s">
        <v>922</v>
      </c>
      <c r="F226" s="10" t="s">
        <v>22</v>
      </c>
      <c r="G226" s="10">
        <v>1275.22</v>
      </c>
    </row>
    <row r="227" spans="1:7" x14ac:dyDescent="0.35">
      <c r="A227" s="10" t="s">
        <v>923</v>
      </c>
      <c r="B227" s="10" t="s">
        <v>234</v>
      </c>
      <c r="C227" s="10" t="s">
        <v>924</v>
      </c>
      <c r="D227" s="10" t="s">
        <v>925</v>
      </c>
      <c r="E227" s="10" t="s">
        <v>41</v>
      </c>
      <c r="F227" s="10" t="s">
        <v>28</v>
      </c>
      <c r="G227" s="10">
        <v>1726.99</v>
      </c>
    </row>
    <row r="228" spans="1:7" x14ac:dyDescent="0.35">
      <c r="A228" s="10" t="s">
        <v>252</v>
      </c>
      <c r="B228" s="10" t="s">
        <v>253</v>
      </c>
      <c r="C228" s="10" t="s">
        <v>41</v>
      </c>
      <c r="D228" s="10" t="s">
        <v>254</v>
      </c>
      <c r="E228" s="10" t="s">
        <v>255</v>
      </c>
      <c r="F228" s="10" t="s">
        <v>22</v>
      </c>
      <c r="G228" s="10">
        <v>2991.92</v>
      </c>
    </row>
    <row r="229" spans="1:7" x14ac:dyDescent="0.35">
      <c r="A229" s="10" t="s">
        <v>926</v>
      </c>
      <c r="B229" s="10" t="s">
        <v>927</v>
      </c>
      <c r="C229" s="10" t="s">
        <v>928</v>
      </c>
      <c r="D229" s="10" t="s">
        <v>929</v>
      </c>
      <c r="E229" s="10" t="s">
        <v>930</v>
      </c>
      <c r="F229" s="10" t="s">
        <v>29</v>
      </c>
      <c r="G229" s="10">
        <v>944</v>
      </c>
    </row>
    <row r="230" spans="1:7" x14ac:dyDescent="0.35">
      <c r="A230" s="10" t="s">
        <v>931</v>
      </c>
      <c r="B230" s="10" t="s">
        <v>257</v>
      </c>
      <c r="C230" s="10" t="s">
        <v>932</v>
      </c>
      <c r="D230" s="10" t="s">
        <v>933</v>
      </c>
      <c r="E230" s="10" t="s">
        <v>934</v>
      </c>
      <c r="F230" s="10" t="s">
        <v>22</v>
      </c>
      <c r="G230" s="10">
        <v>2212.23</v>
      </c>
    </row>
    <row r="231" spans="1:7" x14ac:dyDescent="0.35">
      <c r="A231" s="10" t="s">
        <v>233</v>
      </c>
      <c r="B231" s="10" t="s">
        <v>234</v>
      </c>
      <c r="C231" s="10" t="s">
        <v>235</v>
      </c>
      <c r="D231" s="10" t="s">
        <v>236</v>
      </c>
      <c r="E231" s="10" t="s">
        <v>237</v>
      </c>
      <c r="F231" s="10" t="s">
        <v>27</v>
      </c>
      <c r="G231" s="10">
        <v>4001.19</v>
      </c>
    </row>
    <row r="232" spans="1:7" x14ac:dyDescent="0.35">
      <c r="A232" s="10" t="s">
        <v>935</v>
      </c>
      <c r="B232" s="10" t="s">
        <v>308</v>
      </c>
      <c r="C232" s="10" t="s">
        <v>936</v>
      </c>
      <c r="D232" s="10" t="s">
        <v>937</v>
      </c>
      <c r="E232" s="10" t="s">
        <v>938</v>
      </c>
      <c r="F232" s="10" t="s">
        <v>28</v>
      </c>
      <c r="G232" s="10">
        <v>2310.91</v>
      </c>
    </row>
    <row r="233" spans="1:7" x14ac:dyDescent="0.35">
      <c r="A233" s="10" t="s">
        <v>939</v>
      </c>
      <c r="B233" s="10" t="s">
        <v>70</v>
      </c>
      <c r="C233" s="10" t="s">
        <v>940</v>
      </c>
      <c r="D233" s="10" t="s">
        <v>41</v>
      </c>
      <c r="E233" s="10" t="s">
        <v>941</v>
      </c>
      <c r="F233" s="10" t="s">
        <v>29</v>
      </c>
      <c r="G233" s="10">
        <v>2321.9299999999998</v>
      </c>
    </row>
    <row r="234" spans="1:7" x14ac:dyDescent="0.35">
      <c r="A234" s="10" t="s">
        <v>942</v>
      </c>
      <c r="B234" s="10" t="s">
        <v>393</v>
      </c>
      <c r="C234" s="10" t="s">
        <v>943</v>
      </c>
      <c r="D234" s="10" t="s">
        <v>944</v>
      </c>
      <c r="E234" s="10" t="s">
        <v>945</v>
      </c>
      <c r="F234" s="10" t="s">
        <v>29</v>
      </c>
      <c r="G234" s="10">
        <v>3822.19</v>
      </c>
    </row>
    <row r="235" spans="1:7" x14ac:dyDescent="0.35">
      <c r="A235" s="10" t="s">
        <v>946</v>
      </c>
      <c r="B235" s="10" t="s">
        <v>160</v>
      </c>
      <c r="C235" s="10" t="s">
        <v>947</v>
      </c>
      <c r="D235" s="10" t="s">
        <v>948</v>
      </c>
      <c r="E235" s="10" t="s">
        <v>949</v>
      </c>
      <c r="F235" s="10" t="s">
        <v>20</v>
      </c>
      <c r="G235" s="10">
        <v>3750.42</v>
      </c>
    </row>
    <row r="236" spans="1:7" x14ac:dyDescent="0.35">
      <c r="A236" s="10" t="s">
        <v>950</v>
      </c>
      <c r="B236" s="10" t="s">
        <v>225</v>
      </c>
      <c r="C236" s="10" t="s">
        <v>951</v>
      </c>
      <c r="D236" s="10" t="s">
        <v>41</v>
      </c>
      <c r="E236" s="10" t="s">
        <v>952</v>
      </c>
      <c r="F236" s="10" t="s">
        <v>27</v>
      </c>
      <c r="G236" s="10">
        <v>4101.68</v>
      </c>
    </row>
    <row r="237" spans="1:7" x14ac:dyDescent="0.35">
      <c r="A237" s="10" t="s">
        <v>616</v>
      </c>
      <c r="B237" s="10" t="s">
        <v>303</v>
      </c>
      <c r="C237" s="10" t="s">
        <v>617</v>
      </c>
      <c r="D237" s="10" t="s">
        <v>618</v>
      </c>
      <c r="E237" s="10" t="s">
        <v>41</v>
      </c>
      <c r="F237" s="10" t="s">
        <v>29</v>
      </c>
      <c r="G237" s="10">
        <v>2993.24</v>
      </c>
    </row>
    <row r="238" spans="1:7" x14ac:dyDescent="0.35">
      <c r="A238" s="10" t="s">
        <v>707</v>
      </c>
      <c r="B238" s="10" t="s">
        <v>708</v>
      </c>
      <c r="C238" s="10" t="s">
        <v>709</v>
      </c>
      <c r="D238" s="10" t="s">
        <v>710</v>
      </c>
      <c r="E238" s="10" t="s">
        <v>711</v>
      </c>
      <c r="F238" s="10" t="s">
        <v>22</v>
      </c>
      <c r="G238" s="10">
        <v>681.21</v>
      </c>
    </row>
    <row r="239" spans="1:7" x14ac:dyDescent="0.35">
      <c r="A239" s="10" t="s">
        <v>953</v>
      </c>
      <c r="B239" s="10" t="s">
        <v>308</v>
      </c>
      <c r="C239" s="10" t="s">
        <v>954</v>
      </c>
      <c r="D239" s="10" t="s">
        <v>955</v>
      </c>
      <c r="E239" s="10" t="s">
        <v>956</v>
      </c>
      <c r="F239" s="10" t="s">
        <v>20</v>
      </c>
      <c r="G239" s="10">
        <v>747.04</v>
      </c>
    </row>
    <row r="240" spans="1:7" x14ac:dyDescent="0.35">
      <c r="A240" s="10" t="s">
        <v>957</v>
      </c>
      <c r="B240" s="10" t="s">
        <v>469</v>
      </c>
      <c r="C240" s="10" t="s">
        <v>958</v>
      </c>
      <c r="D240" s="10" t="s">
        <v>959</v>
      </c>
      <c r="E240" s="10" t="s">
        <v>960</v>
      </c>
      <c r="F240" s="10" t="s">
        <v>29</v>
      </c>
      <c r="G240" s="10">
        <v>4919.2700000000004</v>
      </c>
    </row>
    <row r="241" spans="1:7" x14ac:dyDescent="0.35">
      <c r="A241" s="10" t="s">
        <v>961</v>
      </c>
      <c r="B241" s="10" t="s">
        <v>53</v>
      </c>
      <c r="C241" s="10" t="s">
        <v>962</v>
      </c>
      <c r="D241" s="10" t="s">
        <v>963</v>
      </c>
      <c r="E241" s="10" t="s">
        <v>964</v>
      </c>
      <c r="F241" s="10" t="s">
        <v>20</v>
      </c>
      <c r="G241" s="10">
        <v>1413.4</v>
      </c>
    </row>
    <row r="242" spans="1:7" x14ac:dyDescent="0.35">
      <c r="A242" s="10" t="s">
        <v>965</v>
      </c>
      <c r="B242" s="10" t="s">
        <v>589</v>
      </c>
      <c r="C242" s="10" t="s">
        <v>41</v>
      </c>
      <c r="D242" s="10" t="s">
        <v>966</v>
      </c>
      <c r="E242" s="10" t="s">
        <v>41</v>
      </c>
      <c r="F242" s="10" t="s">
        <v>27</v>
      </c>
      <c r="G242" s="10">
        <v>2287.64</v>
      </c>
    </row>
    <row r="243" spans="1:7" x14ac:dyDescent="0.35">
      <c r="A243" s="10" t="s">
        <v>967</v>
      </c>
      <c r="B243" s="10" t="s">
        <v>461</v>
      </c>
      <c r="C243" s="10" t="s">
        <v>968</v>
      </c>
      <c r="D243" s="10" t="s">
        <v>969</v>
      </c>
      <c r="E243" s="10" t="s">
        <v>970</v>
      </c>
      <c r="F243" s="10" t="s">
        <v>29</v>
      </c>
      <c r="G243" s="10">
        <v>2483.4499999999998</v>
      </c>
    </row>
    <row r="244" spans="1:7" x14ac:dyDescent="0.35">
      <c r="A244" s="10" t="s">
        <v>971</v>
      </c>
      <c r="B244" s="10" t="s">
        <v>972</v>
      </c>
      <c r="C244" s="10" t="s">
        <v>973</v>
      </c>
      <c r="D244" s="10" t="s">
        <v>41</v>
      </c>
      <c r="E244" s="10" t="s">
        <v>41</v>
      </c>
      <c r="F244" s="10" t="s">
        <v>28</v>
      </c>
      <c r="G244" s="10">
        <v>4967.68</v>
      </c>
    </row>
    <row r="245" spans="1:7" x14ac:dyDescent="0.35">
      <c r="A245" s="10" t="s">
        <v>974</v>
      </c>
      <c r="B245" s="10" t="s">
        <v>975</v>
      </c>
      <c r="C245" s="10" t="s">
        <v>976</v>
      </c>
      <c r="D245" s="10" t="s">
        <v>41</v>
      </c>
      <c r="E245" s="10" t="s">
        <v>977</v>
      </c>
      <c r="F245" s="10" t="s">
        <v>29</v>
      </c>
      <c r="G245" s="10">
        <v>4057.23</v>
      </c>
    </row>
    <row r="246" spans="1:7" x14ac:dyDescent="0.35">
      <c r="A246" s="10" t="s">
        <v>978</v>
      </c>
      <c r="B246" s="10" t="s">
        <v>979</v>
      </c>
      <c r="C246" s="10" t="s">
        <v>980</v>
      </c>
      <c r="D246" s="10" t="s">
        <v>981</v>
      </c>
      <c r="E246" s="10" t="s">
        <v>982</v>
      </c>
      <c r="F246" s="10" t="s">
        <v>29</v>
      </c>
      <c r="G246" s="10">
        <v>4107.07</v>
      </c>
    </row>
    <row r="247" spans="1:7" x14ac:dyDescent="0.35">
      <c r="A247" s="10" t="s">
        <v>983</v>
      </c>
      <c r="B247" s="10" t="s">
        <v>984</v>
      </c>
      <c r="C247" s="10" t="s">
        <v>985</v>
      </c>
      <c r="D247" s="10" t="s">
        <v>986</v>
      </c>
      <c r="E247" s="10" t="s">
        <v>987</v>
      </c>
      <c r="F247" s="10" t="s">
        <v>29</v>
      </c>
      <c r="G247" s="10">
        <v>3044.2</v>
      </c>
    </row>
    <row r="248" spans="1:7" x14ac:dyDescent="0.35">
      <c r="A248" s="10" t="s">
        <v>988</v>
      </c>
      <c r="B248" s="10" t="s">
        <v>989</v>
      </c>
      <c r="C248" s="10" t="s">
        <v>990</v>
      </c>
      <c r="D248" s="10" t="s">
        <v>991</v>
      </c>
      <c r="E248" s="10" t="s">
        <v>41</v>
      </c>
      <c r="F248" s="10" t="s">
        <v>28</v>
      </c>
      <c r="G248" s="10">
        <v>3058.22</v>
      </c>
    </row>
    <row r="249" spans="1:7" x14ac:dyDescent="0.35">
      <c r="A249" s="10" t="s">
        <v>992</v>
      </c>
      <c r="B249" s="10" t="s">
        <v>726</v>
      </c>
      <c r="C249" s="10" t="s">
        <v>993</v>
      </c>
      <c r="D249" s="10" t="s">
        <v>994</v>
      </c>
      <c r="E249" s="10" t="s">
        <v>995</v>
      </c>
      <c r="F249" s="10" t="s">
        <v>29</v>
      </c>
      <c r="G249" s="10">
        <v>1250.3</v>
      </c>
    </row>
    <row r="250" spans="1:7" x14ac:dyDescent="0.35">
      <c r="A250" s="10" t="s">
        <v>996</v>
      </c>
      <c r="B250" s="10" t="s">
        <v>984</v>
      </c>
      <c r="C250" s="10" t="s">
        <v>997</v>
      </c>
      <c r="D250" s="10" t="s">
        <v>998</v>
      </c>
      <c r="E250" s="10" t="s">
        <v>999</v>
      </c>
      <c r="F250" s="10" t="s">
        <v>20</v>
      </c>
      <c r="G250" s="10">
        <v>2247.66</v>
      </c>
    </row>
    <row r="251" spans="1:7" x14ac:dyDescent="0.35">
      <c r="A251" s="10" t="s">
        <v>1000</v>
      </c>
      <c r="B251" s="10" t="s">
        <v>63</v>
      </c>
      <c r="C251" s="10" t="s">
        <v>1001</v>
      </c>
      <c r="D251" s="10" t="s">
        <v>1002</v>
      </c>
      <c r="E251" s="10" t="s">
        <v>643</v>
      </c>
      <c r="F251" s="10" t="s">
        <v>26</v>
      </c>
      <c r="G251" s="10">
        <v>4591.66</v>
      </c>
    </row>
    <row r="252" spans="1:7" x14ac:dyDescent="0.35">
      <c r="A252" s="10" t="s">
        <v>1003</v>
      </c>
      <c r="B252" s="10" t="s">
        <v>1004</v>
      </c>
      <c r="C252" s="10" t="s">
        <v>1005</v>
      </c>
      <c r="D252" s="10" t="s">
        <v>1006</v>
      </c>
      <c r="E252" s="10" t="s">
        <v>1007</v>
      </c>
      <c r="F252" s="10" t="s">
        <v>29</v>
      </c>
      <c r="G252" s="10">
        <v>2116</v>
      </c>
    </row>
    <row r="253" spans="1:7" x14ac:dyDescent="0.35">
      <c r="A253" s="10" t="s">
        <v>1008</v>
      </c>
      <c r="B253" s="10" t="s">
        <v>1009</v>
      </c>
      <c r="C253" s="10" t="s">
        <v>1010</v>
      </c>
      <c r="D253" s="10" t="s">
        <v>1011</v>
      </c>
      <c r="E253" s="10" t="s">
        <v>1012</v>
      </c>
      <c r="F253" s="10" t="s">
        <v>29</v>
      </c>
      <c r="G253" s="10">
        <v>4535.2299999999996</v>
      </c>
    </row>
    <row r="254" spans="1:7" x14ac:dyDescent="0.35">
      <c r="A254" s="10" t="s">
        <v>1013</v>
      </c>
      <c r="B254" s="10" t="s">
        <v>1014</v>
      </c>
      <c r="C254" s="10" t="s">
        <v>1015</v>
      </c>
      <c r="D254" s="10" t="s">
        <v>1016</v>
      </c>
      <c r="E254" s="10" t="s">
        <v>1017</v>
      </c>
      <c r="F254" s="10" t="s">
        <v>20</v>
      </c>
      <c r="G254" s="10">
        <v>886.88</v>
      </c>
    </row>
    <row r="255" spans="1:7" x14ac:dyDescent="0.35">
      <c r="A255" s="10" t="s">
        <v>1018</v>
      </c>
      <c r="B255" s="10" t="s">
        <v>726</v>
      </c>
      <c r="C255" s="10" t="s">
        <v>1019</v>
      </c>
      <c r="D255" s="10" t="s">
        <v>1020</v>
      </c>
      <c r="E255" s="10" t="s">
        <v>1021</v>
      </c>
      <c r="F255" s="10" t="s">
        <v>29</v>
      </c>
      <c r="G255" s="10">
        <v>1004.36</v>
      </c>
    </row>
    <row r="256" spans="1:7" x14ac:dyDescent="0.35">
      <c r="A256" s="10" t="s">
        <v>1022</v>
      </c>
      <c r="B256" s="10" t="s">
        <v>579</v>
      </c>
      <c r="C256" s="10" t="s">
        <v>1023</v>
      </c>
      <c r="D256" s="10" t="s">
        <v>1024</v>
      </c>
      <c r="E256" s="10" t="s">
        <v>1025</v>
      </c>
      <c r="F256" s="10" t="s">
        <v>29</v>
      </c>
      <c r="G256" s="10">
        <v>1412.92</v>
      </c>
    </row>
    <row r="257" spans="1:7" x14ac:dyDescent="0.35">
      <c r="A257" s="10" t="s">
        <v>1026</v>
      </c>
      <c r="B257" s="10" t="s">
        <v>1027</v>
      </c>
      <c r="C257" s="10" t="s">
        <v>1028</v>
      </c>
      <c r="D257" s="10" t="s">
        <v>1029</v>
      </c>
      <c r="E257" s="10" t="s">
        <v>1030</v>
      </c>
      <c r="F257" s="10" t="s">
        <v>29</v>
      </c>
      <c r="G257" s="10">
        <v>699.14</v>
      </c>
    </row>
    <row r="258" spans="1:7" x14ac:dyDescent="0.35">
      <c r="A258" s="10" t="s">
        <v>1031</v>
      </c>
      <c r="B258" s="10" t="s">
        <v>195</v>
      </c>
      <c r="C258" s="10" t="s">
        <v>1032</v>
      </c>
      <c r="D258" s="10" t="s">
        <v>41</v>
      </c>
      <c r="E258" s="10" t="s">
        <v>1033</v>
      </c>
      <c r="F258" s="10" t="s">
        <v>22</v>
      </c>
      <c r="G258" s="10">
        <v>4051</v>
      </c>
    </row>
    <row r="259" spans="1:7" x14ac:dyDescent="0.35">
      <c r="A259" s="10" t="s">
        <v>1034</v>
      </c>
      <c r="B259" s="10" t="s">
        <v>777</v>
      </c>
      <c r="C259" s="10" t="s">
        <v>1035</v>
      </c>
      <c r="D259" s="10" t="s">
        <v>1036</v>
      </c>
      <c r="E259" s="10" t="s">
        <v>38</v>
      </c>
      <c r="F259" s="10" t="s">
        <v>27</v>
      </c>
      <c r="G259" s="10">
        <v>4852.68</v>
      </c>
    </row>
    <row r="260" spans="1:7" x14ac:dyDescent="0.35">
      <c r="A260" s="10" t="s">
        <v>1037</v>
      </c>
      <c r="B260" s="10" t="s">
        <v>677</v>
      </c>
      <c r="C260" s="10" t="s">
        <v>1038</v>
      </c>
      <c r="D260" s="10" t="s">
        <v>1039</v>
      </c>
      <c r="E260" s="10" t="s">
        <v>185</v>
      </c>
      <c r="F260" s="10" t="s">
        <v>20</v>
      </c>
      <c r="G260" s="10">
        <v>3398.89</v>
      </c>
    </row>
    <row r="261" spans="1:7" x14ac:dyDescent="0.35">
      <c r="A261" s="10" t="s">
        <v>1040</v>
      </c>
      <c r="B261" s="10" t="s">
        <v>401</v>
      </c>
      <c r="C261" s="10" t="s">
        <v>1041</v>
      </c>
      <c r="D261" s="10" t="s">
        <v>1042</v>
      </c>
      <c r="E261" s="10" t="s">
        <v>1043</v>
      </c>
      <c r="F261" s="10" t="s">
        <v>28</v>
      </c>
      <c r="G261" s="10">
        <v>4185.75</v>
      </c>
    </row>
    <row r="262" spans="1:7" x14ac:dyDescent="0.35">
      <c r="A262" s="10" t="s">
        <v>1044</v>
      </c>
      <c r="B262" s="10" t="s">
        <v>239</v>
      </c>
      <c r="C262" s="10" t="s">
        <v>1045</v>
      </c>
      <c r="D262" s="10" t="s">
        <v>41</v>
      </c>
      <c r="E262" s="10" t="s">
        <v>1046</v>
      </c>
      <c r="F262" s="10" t="s">
        <v>22</v>
      </c>
      <c r="G262" s="10">
        <v>474.93</v>
      </c>
    </row>
    <row r="263" spans="1:7" x14ac:dyDescent="0.35">
      <c r="A263" s="10" t="s">
        <v>1047</v>
      </c>
      <c r="B263" s="10" t="s">
        <v>1048</v>
      </c>
      <c r="C263" s="10" t="s">
        <v>1049</v>
      </c>
      <c r="D263" s="10" t="s">
        <v>41</v>
      </c>
      <c r="E263" s="10" t="s">
        <v>1050</v>
      </c>
      <c r="F263" s="10" t="s">
        <v>29</v>
      </c>
      <c r="G263" s="10">
        <v>880.56</v>
      </c>
    </row>
    <row r="264" spans="1:7" x14ac:dyDescent="0.35">
      <c r="A264" s="10" t="s">
        <v>1051</v>
      </c>
      <c r="B264" s="10" t="s">
        <v>579</v>
      </c>
      <c r="C264" s="10" t="s">
        <v>1052</v>
      </c>
      <c r="D264" s="10" t="s">
        <v>1053</v>
      </c>
      <c r="E264" s="10" t="s">
        <v>41</v>
      </c>
      <c r="F264" s="10" t="s">
        <v>20</v>
      </c>
      <c r="G264" s="10">
        <v>4846.13</v>
      </c>
    </row>
    <row r="265" spans="1:7" x14ac:dyDescent="0.35">
      <c r="A265" s="10" t="s">
        <v>1054</v>
      </c>
      <c r="B265" s="10" t="s">
        <v>1055</v>
      </c>
      <c r="C265" s="10" t="s">
        <v>1056</v>
      </c>
      <c r="D265" s="10" t="s">
        <v>1057</v>
      </c>
      <c r="E265" s="10" t="s">
        <v>1058</v>
      </c>
      <c r="F265" s="10" t="s">
        <v>22</v>
      </c>
      <c r="G265" s="10">
        <v>1102.93</v>
      </c>
    </row>
    <row r="266" spans="1:7" x14ac:dyDescent="0.35">
      <c r="A266" s="10" t="s">
        <v>1059</v>
      </c>
      <c r="B266" s="10" t="s">
        <v>354</v>
      </c>
      <c r="C266" s="10" t="s">
        <v>1060</v>
      </c>
      <c r="D266" s="10" t="s">
        <v>1061</v>
      </c>
      <c r="E266" s="10" t="s">
        <v>1062</v>
      </c>
      <c r="F266" s="10" t="s">
        <v>24</v>
      </c>
      <c r="G266" s="10">
        <v>4544.0600000000004</v>
      </c>
    </row>
    <row r="267" spans="1:7" x14ac:dyDescent="0.35">
      <c r="A267" s="10" t="s">
        <v>1063</v>
      </c>
      <c r="B267" s="10" t="s">
        <v>1064</v>
      </c>
      <c r="C267" s="10" t="s">
        <v>1065</v>
      </c>
      <c r="D267" s="10" t="s">
        <v>1066</v>
      </c>
      <c r="E267" s="10" t="s">
        <v>41</v>
      </c>
      <c r="F267" s="10" t="s">
        <v>29</v>
      </c>
      <c r="G267" s="10">
        <v>2587</v>
      </c>
    </row>
    <row r="268" spans="1:7" x14ac:dyDescent="0.35">
      <c r="A268" s="10" t="s">
        <v>1067</v>
      </c>
      <c r="B268" s="10" t="s">
        <v>589</v>
      </c>
      <c r="C268" s="10" t="s">
        <v>1068</v>
      </c>
      <c r="D268" s="10" t="s">
        <v>1069</v>
      </c>
      <c r="E268" s="10" t="s">
        <v>41</v>
      </c>
      <c r="F268" s="10" t="s">
        <v>24</v>
      </c>
      <c r="G268" s="10">
        <v>119</v>
      </c>
    </row>
    <row r="269" spans="1:7" x14ac:dyDescent="0.35">
      <c r="A269" s="10" t="s">
        <v>1070</v>
      </c>
      <c r="B269" s="10" t="s">
        <v>418</v>
      </c>
      <c r="C269" s="10" t="s">
        <v>1071</v>
      </c>
      <c r="D269" s="10" t="s">
        <v>1072</v>
      </c>
      <c r="E269" s="10" t="s">
        <v>1073</v>
      </c>
      <c r="F269" s="10" t="s">
        <v>20</v>
      </c>
      <c r="G269" s="10">
        <v>2802.47</v>
      </c>
    </row>
    <row r="270" spans="1:7" x14ac:dyDescent="0.35">
      <c r="A270" s="10" t="s">
        <v>1074</v>
      </c>
      <c r="B270" s="10" t="s">
        <v>177</v>
      </c>
      <c r="C270" s="10" t="s">
        <v>1075</v>
      </c>
      <c r="D270" s="10" t="s">
        <v>1076</v>
      </c>
      <c r="E270" s="10" t="s">
        <v>1077</v>
      </c>
      <c r="F270" s="10" t="s">
        <v>27</v>
      </c>
      <c r="G270" s="10">
        <v>3636.95</v>
      </c>
    </row>
    <row r="271" spans="1:7" x14ac:dyDescent="0.35">
      <c r="A271" s="10" t="s">
        <v>1078</v>
      </c>
      <c r="B271" s="10" t="s">
        <v>1079</v>
      </c>
      <c r="C271" s="10" t="s">
        <v>1080</v>
      </c>
      <c r="D271" s="10" t="s">
        <v>1081</v>
      </c>
      <c r="E271" s="10" t="s">
        <v>1082</v>
      </c>
      <c r="F271" s="10" t="s">
        <v>29</v>
      </c>
      <c r="G271" s="10">
        <v>4640</v>
      </c>
    </row>
    <row r="272" spans="1:7" x14ac:dyDescent="0.35">
      <c r="A272" s="10" t="s">
        <v>1083</v>
      </c>
      <c r="B272" s="10" t="s">
        <v>110</v>
      </c>
      <c r="C272" s="10" t="s">
        <v>1084</v>
      </c>
      <c r="D272" s="10" t="s">
        <v>1085</v>
      </c>
      <c r="E272" s="10" t="s">
        <v>1086</v>
      </c>
      <c r="F272" s="10" t="s">
        <v>28</v>
      </c>
      <c r="G272" s="10">
        <v>3679.63</v>
      </c>
    </row>
    <row r="273" spans="1:7" x14ac:dyDescent="0.35">
      <c r="A273" s="10" t="s">
        <v>1087</v>
      </c>
      <c r="B273" s="10" t="s">
        <v>1088</v>
      </c>
      <c r="C273" s="10" t="s">
        <v>1089</v>
      </c>
      <c r="D273" s="10" t="s">
        <v>1090</v>
      </c>
      <c r="E273" s="10" t="s">
        <v>41</v>
      </c>
      <c r="F273" s="10" t="s">
        <v>22</v>
      </c>
      <c r="G273" s="10">
        <v>3420.94</v>
      </c>
    </row>
    <row r="274" spans="1:7" x14ac:dyDescent="0.35">
      <c r="A274" s="10" t="s">
        <v>1091</v>
      </c>
      <c r="B274" s="10" t="s">
        <v>303</v>
      </c>
      <c r="C274" s="10" t="s">
        <v>1092</v>
      </c>
      <c r="D274" s="10" t="s">
        <v>41</v>
      </c>
      <c r="E274" s="10" t="s">
        <v>1093</v>
      </c>
      <c r="F274" s="10" t="s">
        <v>28</v>
      </c>
      <c r="G274" s="10">
        <v>3954.2</v>
      </c>
    </row>
    <row r="275" spans="1:7" x14ac:dyDescent="0.35">
      <c r="A275" s="10" t="s">
        <v>1094</v>
      </c>
      <c r="B275" s="10" t="s">
        <v>298</v>
      </c>
      <c r="C275" s="10" t="s">
        <v>1095</v>
      </c>
      <c r="D275" s="10" t="s">
        <v>1096</v>
      </c>
      <c r="E275" s="10" t="s">
        <v>1097</v>
      </c>
      <c r="F275" s="10" t="s">
        <v>24</v>
      </c>
      <c r="G275" s="10">
        <v>106.74</v>
      </c>
    </row>
    <row r="276" spans="1:7" x14ac:dyDescent="0.35">
      <c r="A276" s="10" t="s">
        <v>1098</v>
      </c>
      <c r="B276" s="10" t="s">
        <v>1099</v>
      </c>
      <c r="C276" s="10" t="s">
        <v>41</v>
      </c>
      <c r="D276" s="10" t="s">
        <v>41</v>
      </c>
      <c r="E276" s="10" t="s">
        <v>1100</v>
      </c>
      <c r="F276" s="10" t="s">
        <v>29</v>
      </c>
      <c r="G276" s="10">
        <v>455.14</v>
      </c>
    </row>
    <row r="277" spans="1:7" x14ac:dyDescent="0.35">
      <c r="A277" s="10" t="s">
        <v>1101</v>
      </c>
      <c r="B277" s="10" t="s">
        <v>898</v>
      </c>
      <c r="C277" s="10" t="s">
        <v>1102</v>
      </c>
      <c r="D277" s="10" t="s">
        <v>1103</v>
      </c>
      <c r="E277" s="10" t="s">
        <v>1104</v>
      </c>
      <c r="F277" s="10" t="s">
        <v>24</v>
      </c>
      <c r="G277" s="10">
        <v>2235.8200000000002</v>
      </c>
    </row>
    <row r="278" spans="1:7" x14ac:dyDescent="0.35">
      <c r="A278" s="10" t="s">
        <v>1105</v>
      </c>
      <c r="B278" s="10" t="s">
        <v>257</v>
      </c>
      <c r="C278" s="10" t="s">
        <v>1106</v>
      </c>
      <c r="D278" s="10" t="s">
        <v>1107</v>
      </c>
      <c r="E278" s="10" t="s">
        <v>1108</v>
      </c>
      <c r="F278" s="10" t="s">
        <v>26</v>
      </c>
      <c r="G278" s="10">
        <v>0</v>
      </c>
    </row>
    <row r="279" spans="1:7" x14ac:dyDescent="0.35">
      <c r="A279" s="10" t="s">
        <v>1109</v>
      </c>
      <c r="B279" s="10" t="s">
        <v>1110</v>
      </c>
      <c r="C279" s="10" t="s">
        <v>1111</v>
      </c>
      <c r="D279" s="10" t="s">
        <v>41</v>
      </c>
      <c r="E279" s="10" t="s">
        <v>1112</v>
      </c>
      <c r="F279" s="10" t="s">
        <v>20</v>
      </c>
      <c r="G279" s="10">
        <v>2835</v>
      </c>
    </row>
    <row r="280" spans="1:7" x14ac:dyDescent="0.35">
      <c r="A280" s="10" t="s">
        <v>1113</v>
      </c>
      <c r="B280" s="10" t="s">
        <v>1114</v>
      </c>
      <c r="C280" s="10" t="s">
        <v>41</v>
      </c>
      <c r="D280" s="10" t="s">
        <v>1115</v>
      </c>
      <c r="E280" s="10" t="s">
        <v>1116</v>
      </c>
      <c r="F280" s="10" t="s">
        <v>27</v>
      </c>
      <c r="G280" s="10">
        <v>1963.33</v>
      </c>
    </row>
    <row r="281" spans="1:7" x14ac:dyDescent="0.35">
      <c r="A281" s="10" t="s">
        <v>1117</v>
      </c>
      <c r="B281" s="10" t="s">
        <v>1118</v>
      </c>
      <c r="C281" s="10" t="s">
        <v>1119</v>
      </c>
      <c r="D281" s="10" t="s">
        <v>1120</v>
      </c>
      <c r="E281" s="10" t="s">
        <v>1121</v>
      </c>
      <c r="F281" s="10" t="s">
        <v>26</v>
      </c>
      <c r="G281" s="10">
        <v>3620.36</v>
      </c>
    </row>
    <row r="282" spans="1:7" x14ac:dyDescent="0.35">
      <c r="A282" s="10" t="s">
        <v>1122</v>
      </c>
      <c r="B282" s="10" t="s">
        <v>145</v>
      </c>
      <c r="C282" s="10" t="s">
        <v>1123</v>
      </c>
      <c r="D282" s="10" t="s">
        <v>1124</v>
      </c>
      <c r="E282" s="10" t="s">
        <v>41</v>
      </c>
      <c r="F282" s="10" t="s">
        <v>20</v>
      </c>
      <c r="G282" s="10">
        <v>0</v>
      </c>
    </row>
    <row r="283" spans="1:7" x14ac:dyDescent="0.35">
      <c r="A283" s="10" t="s">
        <v>1125</v>
      </c>
      <c r="B283" s="10" t="s">
        <v>465</v>
      </c>
      <c r="C283" s="10" t="s">
        <v>1126</v>
      </c>
      <c r="D283" s="10" t="s">
        <v>1127</v>
      </c>
      <c r="E283" s="10" t="s">
        <v>1128</v>
      </c>
      <c r="F283" s="10" t="s">
        <v>29</v>
      </c>
      <c r="G283" s="10">
        <v>2473.31</v>
      </c>
    </row>
    <row r="284" spans="1:7" x14ac:dyDescent="0.35">
      <c r="A284" s="10" t="s">
        <v>1129</v>
      </c>
      <c r="B284" s="10" t="s">
        <v>1130</v>
      </c>
      <c r="C284" s="10" t="s">
        <v>1131</v>
      </c>
      <c r="D284" s="10" t="s">
        <v>1132</v>
      </c>
      <c r="E284" s="10" t="s">
        <v>41</v>
      </c>
      <c r="F284" s="10" t="s">
        <v>22</v>
      </c>
      <c r="G284" s="10">
        <v>4862.92</v>
      </c>
    </row>
    <row r="285" spans="1:7" x14ac:dyDescent="0.35">
      <c r="A285" s="10" t="s">
        <v>1133</v>
      </c>
      <c r="B285" s="10" t="s">
        <v>662</v>
      </c>
      <c r="C285" s="10" t="s">
        <v>1134</v>
      </c>
      <c r="D285" s="10" t="s">
        <v>1135</v>
      </c>
      <c r="E285" s="10" t="s">
        <v>1136</v>
      </c>
      <c r="F285" s="10" t="s">
        <v>24</v>
      </c>
      <c r="G285" s="10">
        <v>4076.79</v>
      </c>
    </row>
    <row r="286" spans="1:7" x14ac:dyDescent="0.35">
      <c r="A286" s="10" t="s">
        <v>1137</v>
      </c>
      <c r="B286" s="10" t="s">
        <v>516</v>
      </c>
      <c r="C286" s="10" t="s">
        <v>1138</v>
      </c>
      <c r="D286" s="10" t="s">
        <v>41</v>
      </c>
      <c r="E286" s="10" t="s">
        <v>1139</v>
      </c>
      <c r="F286" s="10" t="s">
        <v>20</v>
      </c>
      <c r="G286" s="10">
        <v>3786.74</v>
      </c>
    </row>
    <row r="287" spans="1:7" x14ac:dyDescent="0.35">
      <c r="A287" s="10" t="s">
        <v>1140</v>
      </c>
      <c r="B287" s="10" t="s">
        <v>145</v>
      </c>
      <c r="C287" s="10" t="s">
        <v>1141</v>
      </c>
      <c r="D287" s="10" t="s">
        <v>1142</v>
      </c>
      <c r="E287" s="10" t="s">
        <v>1143</v>
      </c>
      <c r="F287" s="10" t="s">
        <v>26</v>
      </c>
      <c r="G287" s="10">
        <v>1683</v>
      </c>
    </row>
    <row r="288" spans="1:7" x14ac:dyDescent="0.35">
      <c r="A288" s="10" t="s">
        <v>1144</v>
      </c>
      <c r="B288" s="10" t="s">
        <v>293</v>
      </c>
      <c r="C288" s="10" t="s">
        <v>41</v>
      </c>
      <c r="D288" s="10" t="s">
        <v>1145</v>
      </c>
      <c r="E288" s="10" t="s">
        <v>1146</v>
      </c>
      <c r="F288" s="10" t="s">
        <v>28</v>
      </c>
      <c r="G288" s="10">
        <v>4956.53</v>
      </c>
    </row>
    <row r="289" spans="1:7" x14ac:dyDescent="0.35">
      <c r="A289" s="10" t="s">
        <v>1147</v>
      </c>
      <c r="B289" s="10" t="s">
        <v>520</v>
      </c>
      <c r="C289" s="10" t="s">
        <v>1148</v>
      </c>
      <c r="D289" s="10" t="s">
        <v>1149</v>
      </c>
      <c r="E289" s="10" t="s">
        <v>41</v>
      </c>
      <c r="F289" s="10" t="s">
        <v>24</v>
      </c>
      <c r="G289" s="10">
        <v>3313.21</v>
      </c>
    </row>
    <row r="290" spans="1:7" x14ac:dyDescent="0.35">
      <c r="A290" s="10" t="s">
        <v>1150</v>
      </c>
      <c r="B290" s="10" t="s">
        <v>418</v>
      </c>
      <c r="C290" s="10" t="s">
        <v>1151</v>
      </c>
      <c r="D290" s="10" t="s">
        <v>1152</v>
      </c>
      <c r="E290" s="10" t="s">
        <v>41</v>
      </c>
      <c r="F290" s="10" t="s">
        <v>27</v>
      </c>
      <c r="G290" s="10">
        <v>281</v>
      </c>
    </row>
    <row r="291" spans="1:7" x14ac:dyDescent="0.35">
      <c r="A291" s="10" t="s">
        <v>1153</v>
      </c>
      <c r="B291" s="10" t="s">
        <v>620</v>
      </c>
      <c r="C291" s="10" t="s">
        <v>1154</v>
      </c>
      <c r="D291" s="10" t="s">
        <v>41</v>
      </c>
      <c r="E291" s="10" t="s">
        <v>41</v>
      </c>
      <c r="F291" s="10" t="s">
        <v>29</v>
      </c>
      <c r="G291" s="10">
        <v>565.63</v>
      </c>
    </row>
    <row r="292" spans="1:7" x14ac:dyDescent="0.35">
      <c r="A292" s="10" t="s">
        <v>1155</v>
      </c>
      <c r="B292" s="10" t="s">
        <v>1156</v>
      </c>
      <c r="C292" s="10" t="s">
        <v>1157</v>
      </c>
      <c r="D292" s="10" t="s">
        <v>1158</v>
      </c>
      <c r="E292" s="10" t="s">
        <v>1159</v>
      </c>
      <c r="F292" s="10" t="s">
        <v>29</v>
      </c>
      <c r="G292" s="10">
        <v>1478.61</v>
      </c>
    </row>
    <row r="293" spans="1:7" x14ac:dyDescent="0.35">
      <c r="A293" s="10" t="s">
        <v>1160</v>
      </c>
      <c r="B293" s="10" t="s">
        <v>458</v>
      </c>
      <c r="C293" s="10" t="s">
        <v>1161</v>
      </c>
      <c r="D293" s="10" t="s">
        <v>1162</v>
      </c>
      <c r="E293" s="10" t="s">
        <v>1163</v>
      </c>
      <c r="F293" s="10" t="s">
        <v>26</v>
      </c>
      <c r="G293" s="10">
        <v>3262.5</v>
      </c>
    </row>
    <row r="294" spans="1:7" x14ac:dyDescent="0.35">
      <c r="A294" s="10" t="s">
        <v>1164</v>
      </c>
      <c r="B294" s="10" t="s">
        <v>298</v>
      </c>
      <c r="C294" s="10" t="s">
        <v>1165</v>
      </c>
      <c r="D294" s="10" t="s">
        <v>1166</v>
      </c>
      <c r="E294" s="10" t="s">
        <v>41</v>
      </c>
      <c r="F294" s="10" t="s">
        <v>22</v>
      </c>
      <c r="G294" s="10">
        <v>2093.48</v>
      </c>
    </row>
    <row r="295" spans="1:7" x14ac:dyDescent="0.35">
      <c r="A295" s="10" t="s">
        <v>1167</v>
      </c>
      <c r="B295" s="10" t="s">
        <v>624</v>
      </c>
      <c r="C295" s="10" t="s">
        <v>1168</v>
      </c>
      <c r="D295" s="10" t="s">
        <v>1169</v>
      </c>
      <c r="E295" s="10" t="s">
        <v>1170</v>
      </c>
      <c r="F295" s="10" t="s">
        <v>27</v>
      </c>
      <c r="G295" s="10">
        <v>171.29</v>
      </c>
    </row>
    <row r="296" spans="1:7" x14ac:dyDescent="0.35">
      <c r="A296" s="10" t="s">
        <v>1171</v>
      </c>
      <c r="B296" s="10" t="s">
        <v>461</v>
      </c>
      <c r="C296" s="10" t="s">
        <v>1172</v>
      </c>
      <c r="D296" s="10" t="s">
        <v>1173</v>
      </c>
      <c r="E296" s="10" t="s">
        <v>1174</v>
      </c>
      <c r="F296" s="10" t="s">
        <v>22</v>
      </c>
      <c r="G296" s="10">
        <v>3764.94</v>
      </c>
    </row>
    <row r="297" spans="1:7" x14ac:dyDescent="0.35">
      <c r="A297" s="10" t="s">
        <v>1175</v>
      </c>
      <c r="B297" s="10" t="s">
        <v>313</v>
      </c>
      <c r="C297" s="10" t="s">
        <v>1176</v>
      </c>
      <c r="D297" s="10" t="s">
        <v>1177</v>
      </c>
      <c r="E297" s="10" t="s">
        <v>1178</v>
      </c>
      <c r="F297" s="10" t="s">
        <v>29</v>
      </c>
      <c r="G297" s="10">
        <v>3169.95</v>
      </c>
    </row>
    <row r="298" spans="1:7" x14ac:dyDescent="0.35">
      <c r="A298" s="10" t="s">
        <v>1179</v>
      </c>
      <c r="B298" s="10" t="s">
        <v>1180</v>
      </c>
      <c r="C298" s="10" t="s">
        <v>1181</v>
      </c>
      <c r="D298" s="10" t="s">
        <v>1182</v>
      </c>
      <c r="E298" s="10" t="s">
        <v>1183</v>
      </c>
      <c r="F298" s="10" t="s">
        <v>26</v>
      </c>
      <c r="G298" s="10">
        <v>4117</v>
      </c>
    </row>
    <row r="299" spans="1:7" x14ac:dyDescent="0.35">
      <c r="A299" s="10" t="s">
        <v>1184</v>
      </c>
      <c r="B299" s="10" t="s">
        <v>1185</v>
      </c>
      <c r="C299" s="10" t="s">
        <v>1186</v>
      </c>
      <c r="D299" s="10" t="s">
        <v>1187</v>
      </c>
      <c r="E299" s="10" t="s">
        <v>1188</v>
      </c>
      <c r="F299" s="10" t="s">
        <v>29</v>
      </c>
      <c r="G299" s="10">
        <v>0</v>
      </c>
    </row>
    <row r="300" spans="1:7" x14ac:dyDescent="0.35">
      <c r="A300" s="10" t="s">
        <v>1189</v>
      </c>
      <c r="B300" s="10" t="s">
        <v>121</v>
      </c>
      <c r="C300" s="10" t="s">
        <v>1190</v>
      </c>
      <c r="D300" s="10" t="s">
        <v>1191</v>
      </c>
      <c r="E300" s="10" t="s">
        <v>1192</v>
      </c>
      <c r="F300" s="10" t="s">
        <v>27</v>
      </c>
      <c r="G300" s="10">
        <v>1249.74</v>
      </c>
    </row>
    <row r="301" spans="1:7" x14ac:dyDescent="0.35">
      <c r="A301" s="10" t="s">
        <v>1193</v>
      </c>
      <c r="B301" s="10" t="s">
        <v>230</v>
      </c>
      <c r="C301" s="10" t="s">
        <v>1194</v>
      </c>
      <c r="D301" s="10" t="s">
        <v>1195</v>
      </c>
      <c r="E301" s="10" t="s">
        <v>41</v>
      </c>
      <c r="F301" s="10" t="s">
        <v>29</v>
      </c>
      <c r="G301" s="10">
        <v>3378.05</v>
      </c>
    </row>
    <row r="302" spans="1:7" x14ac:dyDescent="0.35">
      <c r="A302" s="10" t="s">
        <v>1196</v>
      </c>
      <c r="B302" s="10" t="s">
        <v>1197</v>
      </c>
      <c r="C302" s="10" t="s">
        <v>1198</v>
      </c>
      <c r="D302" s="10" t="s">
        <v>1199</v>
      </c>
      <c r="E302" s="10" t="s">
        <v>1200</v>
      </c>
      <c r="F302" s="10" t="s">
        <v>22</v>
      </c>
      <c r="G302" s="10">
        <v>2098</v>
      </c>
    </row>
    <row r="303" spans="1:7" x14ac:dyDescent="0.35">
      <c r="A303" s="10" t="s">
        <v>1201</v>
      </c>
      <c r="B303" s="10" t="s">
        <v>1202</v>
      </c>
      <c r="C303" s="10" t="s">
        <v>1203</v>
      </c>
      <c r="D303" s="10" t="s">
        <v>1204</v>
      </c>
      <c r="E303" s="10" t="s">
        <v>1205</v>
      </c>
      <c r="F303" s="10" t="s">
        <v>28</v>
      </c>
      <c r="G303" s="10">
        <v>3765.73</v>
      </c>
    </row>
    <row r="304" spans="1:7" x14ac:dyDescent="0.35">
      <c r="A304" s="10" t="s">
        <v>1206</v>
      </c>
      <c r="B304" s="10" t="s">
        <v>1114</v>
      </c>
      <c r="C304" s="10" t="s">
        <v>1207</v>
      </c>
      <c r="D304" s="10" t="s">
        <v>1208</v>
      </c>
      <c r="E304" s="10" t="s">
        <v>1209</v>
      </c>
      <c r="F304" s="10" t="s">
        <v>29</v>
      </c>
      <c r="G304" s="10">
        <v>151.1</v>
      </c>
    </row>
    <row r="305" spans="1:7" x14ac:dyDescent="0.35">
      <c r="A305" s="10" t="s">
        <v>1210</v>
      </c>
      <c r="B305" s="10" t="s">
        <v>1211</v>
      </c>
      <c r="C305" s="10" t="s">
        <v>1212</v>
      </c>
      <c r="D305" s="10" t="s">
        <v>1213</v>
      </c>
      <c r="E305" s="10" t="s">
        <v>1214</v>
      </c>
      <c r="F305" s="10" t="s">
        <v>20</v>
      </c>
      <c r="G305" s="10">
        <v>468.09</v>
      </c>
    </row>
    <row r="306" spans="1:7" x14ac:dyDescent="0.35">
      <c r="A306" s="10" t="s">
        <v>767</v>
      </c>
      <c r="B306" s="10" t="s">
        <v>75</v>
      </c>
      <c r="C306" s="10" t="s">
        <v>768</v>
      </c>
      <c r="D306" s="10" t="s">
        <v>769</v>
      </c>
      <c r="E306" s="10" t="s">
        <v>770</v>
      </c>
      <c r="F306" s="10" t="s">
        <v>27</v>
      </c>
      <c r="G306" s="10">
        <v>0</v>
      </c>
    </row>
    <row r="307" spans="1:7" x14ac:dyDescent="0.35">
      <c r="A307" s="10" t="s">
        <v>1215</v>
      </c>
      <c r="B307" s="10" t="s">
        <v>160</v>
      </c>
      <c r="C307" s="10" t="s">
        <v>1216</v>
      </c>
      <c r="D307" s="10" t="s">
        <v>1217</v>
      </c>
      <c r="E307" s="10" t="s">
        <v>1218</v>
      </c>
      <c r="F307" s="10" t="s">
        <v>24</v>
      </c>
      <c r="G307" s="10">
        <v>0</v>
      </c>
    </row>
    <row r="308" spans="1:7" x14ac:dyDescent="0.35">
      <c r="A308" s="10" t="s">
        <v>1109</v>
      </c>
      <c r="B308" s="10" t="s">
        <v>1110</v>
      </c>
      <c r="C308" s="10" t="s">
        <v>1111</v>
      </c>
      <c r="D308" s="10" t="s">
        <v>41</v>
      </c>
      <c r="E308" s="10" t="s">
        <v>1112</v>
      </c>
      <c r="F308" s="10" t="s">
        <v>20</v>
      </c>
      <c r="G308" s="10">
        <v>2835</v>
      </c>
    </row>
    <row r="309" spans="1:7" x14ac:dyDescent="0.35">
      <c r="A309" s="10" t="s">
        <v>1219</v>
      </c>
      <c r="B309" s="10" t="s">
        <v>364</v>
      </c>
      <c r="C309" s="10" t="s">
        <v>1220</v>
      </c>
      <c r="D309" s="10" t="s">
        <v>1221</v>
      </c>
      <c r="E309" s="10" t="s">
        <v>41</v>
      </c>
      <c r="F309" s="10" t="s">
        <v>26</v>
      </c>
      <c r="G309" s="10">
        <v>3042.35</v>
      </c>
    </row>
    <row r="310" spans="1:7" x14ac:dyDescent="0.35">
      <c r="A310" s="10" t="s">
        <v>1222</v>
      </c>
      <c r="B310" s="10" t="s">
        <v>601</v>
      </c>
      <c r="C310" s="10" t="s">
        <v>1223</v>
      </c>
      <c r="D310" s="10" t="s">
        <v>1224</v>
      </c>
      <c r="E310" s="10" t="s">
        <v>1225</v>
      </c>
      <c r="F310" s="10" t="s">
        <v>24</v>
      </c>
      <c r="G310" s="10">
        <v>1760</v>
      </c>
    </row>
    <row r="311" spans="1:7" x14ac:dyDescent="0.35">
      <c r="A311" s="10" t="s">
        <v>1226</v>
      </c>
      <c r="B311" s="10" t="s">
        <v>212</v>
      </c>
      <c r="C311" s="10" t="s">
        <v>1227</v>
      </c>
      <c r="D311" s="10" t="s">
        <v>1228</v>
      </c>
      <c r="E311" s="10" t="s">
        <v>1229</v>
      </c>
      <c r="F311" s="10" t="s">
        <v>26</v>
      </c>
      <c r="G311" s="10">
        <v>4186.21</v>
      </c>
    </row>
    <row r="312" spans="1:7" x14ac:dyDescent="0.35">
      <c r="A312" s="10" t="s">
        <v>1230</v>
      </c>
      <c r="B312" s="10" t="s">
        <v>520</v>
      </c>
      <c r="C312" s="10" t="s">
        <v>1231</v>
      </c>
      <c r="D312" s="10" t="s">
        <v>1232</v>
      </c>
      <c r="E312" s="10" t="s">
        <v>41</v>
      </c>
      <c r="F312" s="10" t="s">
        <v>26</v>
      </c>
      <c r="G312" s="10">
        <v>4062.54</v>
      </c>
    </row>
    <row r="313" spans="1:7" x14ac:dyDescent="0.35">
      <c r="A313" s="10" t="s">
        <v>1233</v>
      </c>
      <c r="B313" s="10" t="s">
        <v>979</v>
      </c>
      <c r="C313" s="10" t="s">
        <v>1234</v>
      </c>
      <c r="D313" s="10" t="s">
        <v>41</v>
      </c>
      <c r="E313" s="10" t="s">
        <v>1235</v>
      </c>
      <c r="F313" s="10" t="s">
        <v>29</v>
      </c>
      <c r="G313" s="10">
        <v>2138.4899999999998</v>
      </c>
    </row>
    <row r="314" spans="1:7" x14ac:dyDescent="0.35">
      <c r="A314" s="10" t="s">
        <v>1236</v>
      </c>
      <c r="B314" s="10" t="s">
        <v>1237</v>
      </c>
      <c r="C314" s="10" t="s">
        <v>1238</v>
      </c>
      <c r="D314" s="10" t="s">
        <v>1239</v>
      </c>
      <c r="E314" s="10" t="s">
        <v>1240</v>
      </c>
      <c r="F314" s="10" t="s">
        <v>20</v>
      </c>
      <c r="G314" s="10">
        <v>-4371</v>
      </c>
    </row>
    <row r="315" spans="1:7" x14ac:dyDescent="0.35">
      <c r="A315" s="10" t="s">
        <v>1241</v>
      </c>
      <c r="B315" s="10" t="s">
        <v>40</v>
      </c>
      <c r="C315" s="10" t="s">
        <v>1242</v>
      </c>
      <c r="D315" s="10" t="s">
        <v>1243</v>
      </c>
      <c r="E315" s="10" t="s">
        <v>41</v>
      </c>
      <c r="F315" s="10" t="s">
        <v>29</v>
      </c>
      <c r="G315" s="10">
        <v>2119.5100000000002</v>
      </c>
    </row>
    <row r="316" spans="1:7" x14ac:dyDescent="0.35">
      <c r="A316" s="10" t="s">
        <v>1244</v>
      </c>
      <c r="B316" s="10" t="s">
        <v>490</v>
      </c>
      <c r="C316" s="10" t="s">
        <v>1245</v>
      </c>
      <c r="D316" s="10" t="s">
        <v>1246</v>
      </c>
      <c r="E316" s="10" t="s">
        <v>1247</v>
      </c>
      <c r="F316" s="10" t="s">
        <v>28</v>
      </c>
      <c r="G316" s="10">
        <v>4803.68</v>
      </c>
    </row>
    <row r="317" spans="1:7" x14ac:dyDescent="0.35">
      <c r="A317" s="10" t="s">
        <v>130</v>
      </c>
      <c r="B317" s="10" t="s">
        <v>131</v>
      </c>
      <c r="C317" s="10" t="s">
        <v>132</v>
      </c>
      <c r="D317" s="10" t="s">
        <v>133</v>
      </c>
      <c r="E317" s="10" t="s">
        <v>134</v>
      </c>
      <c r="F317" s="10" t="s">
        <v>26</v>
      </c>
      <c r="G317" s="10">
        <v>649.17999999999995</v>
      </c>
    </row>
    <row r="318" spans="1:7" x14ac:dyDescent="0.35">
      <c r="A318" s="10" t="s">
        <v>1248</v>
      </c>
      <c r="B318" s="10" t="s">
        <v>1249</v>
      </c>
      <c r="C318" s="10" t="s">
        <v>1250</v>
      </c>
      <c r="D318" s="10" t="s">
        <v>1251</v>
      </c>
      <c r="E318" s="10" t="s">
        <v>1252</v>
      </c>
      <c r="F318" s="10" t="s">
        <v>20</v>
      </c>
      <c r="G318" s="10">
        <v>0</v>
      </c>
    </row>
    <row r="319" spans="1:7" x14ac:dyDescent="0.35">
      <c r="A319" s="10" t="s">
        <v>1253</v>
      </c>
      <c r="B319" s="10" t="s">
        <v>164</v>
      </c>
      <c r="C319" s="10" t="s">
        <v>1254</v>
      </c>
      <c r="D319" s="10" t="s">
        <v>1255</v>
      </c>
      <c r="E319" s="10" t="s">
        <v>1256</v>
      </c>
      <c r="F319" s="10" t="s">
        <v>26</v>
      </c>
      <c r="G319" s="10">
        <v>3909.09</v>
      </c>
    </row>
    <row r="320" spans="1:7" x14ac:dyDescent="0.35">
      <c r="A320" s="10" t="s">
        <v>1257</v>
      </c>
      <c r="B320" s="10" t="s">
        <v>385</v>
      </c>
      <c r="C320" s="10" t="s">
        <v>1258</v>
      </c>
      <c r="D320" s="10" t="s">
        <v>1259</v>
      </c>
      <c r="E320" s="10" t="s">
        <v>41</v>
      </c>
      <c r="F320" s="10" t="s">
        <v>26</v>
      </c>
      <c r="G320" s="10">
        <v>1956.29</v>
      </c>
    </row>
    <row r="321" spans="1:7" x14ac:dyDescent="0.35">
      <c r="A321" s="10" t="s">
        <v>1260</v>
      </c>
      <c r="B321" s="10" t="s">
        <v>262</v>
      </c>
      <c r="C321" s="10" t="s">
        <v>1261</v>
      </c>
      <c r="D321" s="10" t="s">
        <v>41</v>
      </c>
      <c r="E321" s="10" t="s">
        <v>41</v>
      </c>
      <c r="F321" s="10" t="s">
        <v>28</v>
      </c>
      <c r="G321" s="10">
        <v>3462.92</v>
      </c>
    </row>
    <row r="322" spans="1:7" x14ac:dyDescent="0.35">
      <c r="A322" s="10" t="s">
        <v>1262</v>
      </c>
      <c r="B322" s="10" t="s">
        <v>262</v>
      </c>
      <c r="C322" s="10" t="s">
        <v>1263</v>
      </c>
      <c r="D322" s="10" t="s">
        <v>1264</v>
      </c>
      <c r="E322" s="10" t="s">
        <v>41</v>
      </c>
      <c r="F322" s="10" t="s">
        <v>29</v>
      </c>
      <c r="G322" s="10">
        <v>118</v>
      </c>
    </row>
    <row r="323" spans="1:7" x14ac:dyDescent="0.35">
      <c r="A323" s="10" t="s">
        <v>1265</v>
      </c>
      <c r="B323" s="10" t="s">
        <v>160</v>
      </c>
      <c r="C323" s="10" t="s">
        <v>1266</v>
      </c>
      <c r="D323" s="10" t="s">
        <v>1267</v>
      </c>
      <c r="E323" s="10" t="s">
        <v>41</v>
      </c>
      <c r="F323" s="10" t="s">
        <v>24</v>
      </c>
      <c r="G323" s="10">
        <v>1180.6300000000001</v>
      </c>
    </row>
    <row r="324" spans="1:7" x14ac:dyDescent="0.35">
      <c r="A324" s="10" t="s">
        <v>1268</v>
      </c>
      <c r="B324" s="10" t="s">
        <v>164</v>
      </c>
      <c r="C324" s="10" t="s">
        <v>1269</v>
      </c>
      <c r="D324" s="10" t="s">
        <v>41</v>
      </c>
      <c r="E324" s="10" t="s">
        <v>1270</v>
      </c>
      <c r="F324" s="10" t="s">
        <v>28</v>
      </c>
      <c r="G324" s="10">
        <v>1367.8</v>
      </c>
    </row>
    <row r="325" spans="1:7" x14ac:dyDescent="0.35">
      <c r="A325" s="10" t="s">
        <v>1271</v>
      </c>
      <c r="B325" s="10" t="s">
        <v>726</v>
      </c>
      <c r="C325" s="10" t="s">
        <v>41</v>
      </c>
      <c r="D325" s="10" t="s">
        <v>1272</v>
      </c>
      <c r="E325" s="10" t="s">
        <v>1273</v>
      </c>
      <c r="F325" s="10" t="s">
        <v>26</v>
      </c>
      <c r="G325" s="10">
        <v>1344.32</v>
      </c>
    </row>
    <row r="326" spans="1:7" x14ac:dyDescent="0.35">
      <c r="A326" s="10" t="s">
        <v>1274</v>
      </c>
      <c r="B326" s="10" t="s">
        <v>1275</v>
      </c>
      <c r="C326" s="10" t="s">
        <v>1276</v>
      </c>
      <c r="D326" s="10" t="s">
        <v>1277</v>
      </c>
      <c r="E326" s="10" t="s">
        <v>1278</v>
      </c>
      <c r="F326" s="10" t="s">
        <v>28</v>
      </c>
      <c r="G326" s="10">
        <v>3497.4</v>
      </c>
    </row>
    <row r="327" spans="1:7" x14ac:dyDescent="0.35">
      <c r="A327" s="10" t="s">
        <v>1279</v>
      </c>
      <c r="B327" s="10" t="s">
        <v>346</v>
      </c>
      <c r="C327" s="10" t="s">
        <v>1280</v>
      </c>
      <c r="D327" s="10" t="s">
        <v>1281</v>
      </c>
      <c r="E327" s="10" t="s">
        <v>1282</v>
      </c>
      <c r="F327" s="10" t="s">
        <v>27</v>
      </c>
      <c r="G327" s="10">
        <v>4900.29</v>
      </c>
    </row>
    <row r="328" spans="1:7" x14ac:dyDescent="0.35">
      <c r="A328" s="10" t="s">
        <v>1283</v>
      </c>
      <c r="B328" s="10" t="s">
        <v>85</v>
      </c>
      <c r="C328" s="10" t="s">
        <v>1284</v>
      </c>
      <c r="D328" s="10" t="s">
        <v>1285</v>
      </c>
      <c r="E328" s="10" t="s">
        <v>1286</v>
      </c>
      <c r="F328" s="10" t="s">
        <v>24</v>
      </c>
      <c r="G328" s="10">
        <v>2093.8200000000002</v>
      </c>
    </row>
    <row r="329" spans="1:7" x14ac:dyDescent="0.35">
      <c r="A329" s="10" t="s">
        <v>1287</v>
      </c>
      <c r="B329" s="10" t="s">
        <v>1202</v>
      </c>
      <c r="C329" s="10" t="s">
        <v>1288</v>
      </c>
      <c r="D329" s="10" t="s">
        <v>1289</v>
      </c>
      <c r="E329" s="10" t="s">
        <v>1290</v>
      </c>
      <c r="F329" s="10" t="s">
        <v>26</v>
      </c>
      <c r="G329" s="10">
        <v>4774.6400000000003</v>
      </c>
    </row>
    <row r="330" spans="1:7" x14ac:dyDescent="0.35">
      <c r="A330" s="10" t="s">
        <v>1291</v>
      </c>
      <c r="B330" s="10" t="s">
        <v>182</v>
      </c>
      <c r="C330" s="10" t="s">
        <v>1292</v>
      </c>
      <c r="D330" s="10" t="s">
        <v>1293</v>
      </c>
      <c r="E330" s="10" t="s">
        <v>1021</v>
      </c>
      <c r="F330" s="10" t="s">
        <v>24</v>
      </c>
      <c r="G330" s="10">
        <v>0</v>
      </c>
    </row>
    <row r="331" spans="1:7" x14ac:dyDescent="0.35">
      <c r="A331" s="10" t="s">
        <v>1294</v>
      </c>
      <c r="B331" s="10" t="s">
        <v>354</v>
      </c>
      <c r="C331" s="10" t="s">
        <v>1295</v>
      </c>
      <c r="D331" s="10" t="s">
        <v>1296</v>
      </c>
      <c r="E331" s="10" t="s">
        <v>1297</v>
      </c>
      <c r="F331" s="10" t="s">
        <v>20</v>
      </c>
      <c r="G331" s="10">
        <v>0</v>
      </c>
    </row>
    <row r="332" spans="1:7" x14ac:dyDescent="0.35">
      <c r="A332" s="10" t="s">
        <v>1298</v>
      </c>
      <c r="B332" s="10" t="s">
        <v>220</v>
      </c>
      <c r="C332" s="10" t="s">
        <v>1299</v>
      </c>
      <c r="D332" s="10" t="s">
        <v>1300</v>
      </c>
      <c r="E332" s="10" t="s">
        <v>1301</v>
      </c>
      <c r="F332" s="10" t="s">
        <v>20</v>
      </c>
      <c r="G332" s="10">
        <v>2806.92</v>
      </c>
    </row>
    <row r="333" spans="1:7" x14ac:dyDescent="0.35">
      <c r="A333" s="10" t="s">
        <v>1302</v>
      </c>
      <c r="B333" s="10" t="s">
        <v>637</v>
      </c>
      <c r="C333" s="10" t="s">
        <v>41</v>
      </c>
      <c r="D333" s="10" t="s">
        <v>1303</v>
      </c>
      <c r="E333" s="10" t="s">
        <v>1304</v>
      </c>
      <c r="F333" s="10" t="s">
        <v>29</v>
      </c>
      <c r="G333" s="10">
        <v>4901.4799999999996</v>
      </c>
    </row>
    <row r="334" spans="1:7" x14ac:dyDescent="0.35">
      <c r="A334" s="10" t="s">
        <v>1305</v>
      </c>
      <c r="B334" s="10" t="s">
        <v>45</v>
      </c>
      <c r="C334" s="10" t="s">
        <v>1306</v>
      </c>
      <c r="D334" s="10" t="s">
        <v>1307</v>
      </c>
      <c r="E334" s="10" t="s">
        <v>706</v>
      </c>
      <c r="F334" s="10" t="s">
        <v>26</v>
      </c>
      <c r="G334" s="10">
        <v>4567.18</v>
      </c>
    </row>
    <row r="335" spans="1:7" x14ac:dyDescent="0.35">
      <c r="A335" s="10" t="s">
        <v>1308</v>
      </c>
      <c r="B335" s="10" t="s">
        <v>632</v>
      </c>
      <c r="C335" s="10" t="s">
        <v>1309</v>
      </c>
      <c r="D335" s="10" t="s">
        <v>1310</v>
      </c>
      <c r="E335" s="10" t="s">
        <v>1311</v>
      </c>
      <c r="F335" s="10" t="s">
        <v>22</v>
      </c>
      <c r="G335" s="10">
        <v>4153.13</v>
      </c>
    </row>
    <row r="336" spans="1:7" x14ac:dyDescent="0.35">
      <c r="A336" s="10" t="s">
        <v>1312</v>
      </c>
      <c r="B336" s="10" t="s">
        <v>1313</v>
      </c>
      <c r="C336" s="10" t="s">
        <v>1314</v>
      </c>
      <c r="D336" s="10" t="s">
        <v>41</v>
      </c>
      <c r="E336" s="10" t="s">
        <v>1315</v>
      </c>
      <c r="F336" s="10" t="s">
        <v>26</v>
      </c>
      <c r="G336" s="10">
        <v>4565.34</v>
      </c>
    </row>
    <row r="337" spans="1:7" x14ac:dyDescent="0.35">
      <c r="A337" s="10" t="s">
        <v>1316</v>
      </c>
      <c r="B337" s="10" t="s">
        <v>1317</v>
      </c>
      <c r="C337" s="10" t="s">
        <v>41</v>
      </c>
      <c r="D337" s="10" t="s">
        <v>1318</v>
      </c>
      <c r="E337" s="10" t="s">
        <v>41</v>
      </c>
      <c r="F337" s="10" t="s">
        <v>28</v>
      </c>
      <c r="G337" s="10">
        <v>2049.11</v>
      </c>
    </row>
    <row r="338" spans="1:7" x14ac:dyDescent="0.35">
      <c r="A338" s="10" t="s">
        <v>1319</v>
      </c>
      <c r="B338" s="10" t="s">
        <v>70</v>
      </c>
      <c r="C338" s="10" t="s">
        <v>1320</v>
      </c>
      <c r="D338" s="10" t="s">
        <v>1321</v>
      </c>
      <c r="E338" s="10" t="s">
        <v>1322</v>
      </c>
      <c r="F338" s="10" t="s">
        <v>28</v>
      </c>
      <c r="G338" s="10">
        <v>447.23</v>
      </c>
    </row>
    <row r="339" spans="1:7" x14ac:dyDescent="0.35">
      <c r="A339" s="10" t="s">
        <v>1323</v>
      </c>
      <c r="B339" s="10" t="s">
        <v>450</v>
      </c>
      <c r="C339" s="10" t="s">
        <v>1324</v>
      </c>
      <c r="D339" s="10" t="s">
        <v>41</v>
      </c>
      <c r="E339" s="10" t="s">
        <v>1325</v>
      </c>
      <c r="F339" s="10" t="s">
        <v>26</v>
      </c>
      <c r="G339" s="10">
        <v>2797.38</v>
      </c>
    </row>
    <row r="340" spans="1:7" x14ac:dyDescent="0.35">
      <c r="A340" s="10" t="s">
        <v>1326</v>
      </c>
      <c r="B340" s="10" t="s">
        <v>979</v>
      </c>
      <c r="C340" s="10" t="s">
        <v>41</v>
      </c>
      <c r="D340" s="10" t="s">
        <v>1327</v>
      </c>
      <c r="E340" s="10" t="s">
        <v>1328</v>
      </c>
      <c r="F340" s="10" t="s">
        <v>28</v>
      </c>
      <c r="G340" s="10">
        <v>3311.99</v>
      </c>
    </row>
    <row r="341" spans="1:7" x14ac:dyDescent="0.35">
      <c r="A341" s="10" t="s">
        <v>707</v>
      </c>
      <c r="B341" s="10" t="s">
        <v>708</v>
      </c>
      <c r="C341" s="10" t="s">
        <v>709</v>
      </c>
      <c r="D341" s="10" t="s">
        <v>710</v>
      </c>
      <c r="E341" s="10" t="s">
        <v>711</v>
      </c>
      <c r="F341" s="10" t="s">
        <v>22</v>
      </c>
      <c r="G341" s="10">
        <v>681.21</v>
      </c>
    </row>
    <row r="342" spans="1:7" x14ac:dyDescent="0.35">
      <c r="A342" s="10" t="s">
        <v>1329</v>
      </c>
      <c r="B342" s="10" t="s">
        <v>1237</v>
      </c>
      <c r="C342" s="10" t="s">
        <v>1330</v>
      </c>
      <c r="D342" s="10" t="s">
        <v>1331</v>
      </c>
      <c r="E342" s="10" t="s">
        <v>1332</v>
      </c>
      <c r="F342" s="10" t="s">
        <v>29</v>
      </c>
      <c r="G342" s="10">
        <v>2119.9</v>
      </c>
    </row>
    <row r="343" spans="1:7" x14ac:dyDescent="0.35">
      <c r="A343" s="10" t="s">
        <v>1333</v>
      </c>
      <c r="B343" s="10" t="s">
        <v>795</v>
      </c>
      <c r="C343" s="10" t="s">
        <v>1334</v>
      </c>
      <c r="D343" s="10" t="s">
        <v>1335</v>
      </c>
      <c r="E343" s="10" t="s">
        <v>1336</v>
      </c>
      <c r="F343" s="10" t="s">
        <v>26</v>
      </c>
      <c r="G343" s="10">
        <v>-2401</v>
      </c>
    </row>
    <row r="344" spans="1:7" x14ac:dyDescent="0.35">
      <c r="A344" s="10" t="s">
        <v>1337</v>
      </c>
      <c r="B344" s="10" t="s">
        <v>1338</v>
      </c>
      <c r="C344" s="10" t="s">
        <v>41</v>
      </c>
      <c r="D344" s="10" t="s">
        <v>41</v>
      </c>
      <c r="E344" s="10" t="s">
        <v>1339</v>
      </c>
      <c r="F344" s="10" t="s">
        <v>22</v>
      </c>
      <c r="G344" s="10">
        <v>423.68</v>
      </c>
    </row>
    <row r="345" spans="1:7" x14ac:dyDescent="0.35">
      <c r="A345" s="10" t="s">
        <v>1340</v>
      </c>
      <c r="B345" s="10" t="s">
        <v>520</v>
      </c>
      <c r="C345" s="10" t="s">
        <v>1341</v>
      </c>
      <c r="D345" s="10" t="s">
        <v>1342</v>
      </c>
      <c r="E345" s="10" t="s">
        <v>41</v>
      </c>
      <c r="F345" s="10" t="s">
        <v>27</v>
      </c>
      <c r="G345" s="10">
        <v>2880</v>
      </c>
    </row>
    <row r="346" spans="1:7" x14ac:dyDescent="0.35">
      <c r="A346" s="10" t="s">
        <v>1343</v>
      </c>
      <c r="B346" s="10" t="s">
        <v>1275</v>
      </c>
      <c r="C346" s="10" t="s">
        <v>1344</v>
      </c>
      <c r="D346" s="10" t="s">
        <v>1345</v>
      </c>
      <c r="E346" s="10" t="s">
        <v>41</v>
      </c>
      <c r="F346" s="10" t="s">
        <v>29</v>
      </c>
      <c r="G346" s="10">
        <v>3779.31</v>
      </c>
    </row>
    <row r="347" spans="1:7" x14ac:dyDescent="0.35">
      <c r="A347" s="10" t="s">
        <v>1346</v>
      </c>
      <c r="B347" s="10" t="s">
        <v>1055</v>
      </c>
      <c r="C347" s="10" t="s">
        <v>1347</v>
      </c>
      <c r="D347" s="10" t="s">
        <v>1348</v>
      </c>
      <c r="E347" s="10" t="s">
        <v>41</v>
      </c>
      <c r="F347" s="10" t="s">
        <v>29</v>
      </c>
      <c r="G347" s="10">
        <v>3851.83</v>
      </c>
    </row>
    <row r="348" spans="1:7" x14ac:dyDescent="0.35">
      <c r="A348" s="10" t="s">
        <v>1349</v>
      </c>
      <c r="B348" s="10" t="s">
        <v>708</v>
      </c>
      <c r="C348" s="10" t="s">
        <v>41</v>
      </c>
      <c r="D348" s="10" t="s">
        <v>1350</v>
      </c>
      <c r="E348" s="10" t="s">
        <v>1351</v>
      </c>
      <c r="F348" s="10" t="s">
        <v>22</v>
      </c>
      <c r="G348" s="10">
        <v>4549.42</v>
      </c>
    </row>
    <row r="349" spans="1:7" x14ac:dyDescent="0.35">
      <c r="A349" s="10" t="s">
        <v>1352</v>
      </c>
      <c r="B349" s="10" t="s">
        <v>1353</v>
      </c>
      <c r="C349" s="10" t="s">
        <v>1354</v>
      </c>
      <c r="D349" s="10" t="s">
        <v>1355</v>
      </c>
      <c r="E349" s="10" t="s">
        <v>1356</v>
      </c>
      <c r="F349" s="10" t="s">
        <v>22</v>
      </c>
      <c r="G349" s="10">
        <v>1814.29</v>
      </c>
    </row>
    <row r="350" spans="1:7" x14ac:dyDescent="0.35">
      <c r="A350" s="10" t="s">
        <v>1357</v>
      </c>
      <c r="B350" s="10" t="s">
        <v>1249</v>
      </c>
      <c r="C350" s="10" t="s">
        <v>1358</v>
      </c>
      <c r="D350" s="10" t="s">
        <v>1359</v>
      </c>
      <c r="E350" s="10" t="s">
        <v>1360</v>
      </c>
      <c r="F350" s="10" t="s">
        <v>29</v>
      </c>
      <c r="G350" s="10">
        <v>2667.21</v>
      </c>
    </row>
    <row r="351" spans="1:7" x14ac:dyDescent="0.35">
      <c r="A351" s="10" t="s">
        <v>1361</v>
      </c>
      <c r="B351" s="10" t="s">
        <v>195</v>
      </c>
      <c r="C351" s="10" t="s">
        <v>1362</v>
      </c>
      <c r="D351" s="10" t="s">
        <v>1363</v>
      </c>
      <c r="E351" s="10" t="s">
        <v>1364</v>
      </c>
      <c r="F351" s="10" t="s">
        <v>28</v>
      </c>
      <c r="G351" s="10">
        <v>2336.88</v>
      </c>
    </row>
    <row r="352" spans="1:7" x14ac:dyDescent="0.35">
      <c r="A352" s="10" t="s">
        <v>1365</v>
      </c>
      <c r="B352" s="10" t="s">
        <v>1366</v>
      </c>
      <c r="C352" s="10" t="s">
        <v>1367</v>
      </c>
      <c r="D352" s="10" t="s">
        <v>41</v>
      </c>
      <c r="E352" s="10" t="s">
        <v>1368</v>
      </c>
      <c r="F352" s="10" t="s">
        <v>29</v>
      </c>
      <c r="G352" s="10">
        <v>1725</v>
      </c>
    </row>
    <row r="353" spans="1:7" x14ac:dyDescent="0.35">
      <c r="A353" s="10" t="s">
        <v>1369</v>
      </c>
      <c r="B353" s="10" t="s">
        <v>385</v>
      </c>
      <c r="C353" s="10" t="s">
        <v>1370</v>
      </c>
      <c r="D353" s="10" t="s">
        <v>1371</v>
      </c>
      <c r="E353" s="10" t="s">
        <v>1372</v>
      </c>
      <c r="F353" s="10" t="s">
        <v>29</v>
      </c>
      <c r="G353" s="10">
        <v>1435.49</v>
      </c>
    </row>
    <row r="354" spans="1:7" x14ac:dyDescent="0.35">
      <c r="A354" s="10" t="s">
        <v>1373</v>
      </c>
      <c r="B354" s="10" t="s">
        <v>1180</v>
      </c>
      <c r="C354" s="10" t="s">
        <v>1374</v>
      </c>
      <c r="D354" s="10" t="s">
        <v>1375</v>
      </c>
      <c r="E354" s="10" t="s">
        <v>1178</v>
      </c>
      <c r="F354" s="10" t="s">
        <v>27</v>
      </c>
      <c r="G354" s="10">
        <v>530.05999999999995</v>
      </c>
    </row>
    <row r="355" spans="1:7" x14ac:dyDescent="0.35">
      <c r="A355" s="10" t="s">
        <v>1376</v>
      </c>
      <c r="B355" s="10" t="s">
        <v>1027</v>
      </c>
      <c r="C355" s="10" t="s">
        <v>1377</v>
      </c>
      <c r="D355" s="10" t="s">
        <v>1378</v>
      </c>
      <c r="E355" s="10" t="s">
        <v>41</v>
      </c>
      <c r="F355" s="10" t="s">
        <v>20</v>
      </c>
      <c r="G355" s="10">
        <v>3090.25</v>
      </c>
    </row>
    <row r="356" spans="1:7" x14ac:dyDescent="0.35">
      <c r="A356" s="10" t="s">
        <v>1379</v>
      </c>
      <c r="B356" s="10" t="s">
        <v>331</v>
      </c>
      <c r="C356" s="10" t="s">
        <v>1380</v>
      </c>
      <c r="D356" s="10" t="s">
        <v>41</v>
      </c>
      <c r="E356" s="10" t="s">
        <v>1381</v>
      </c>
      <c r="F356" s="10" t="s">
        <v>27</v>
      </c>
      <c r="G356" s="10">
        <v>4816.13</v>
      </c>
    </row>
    <row r="357" spans="1:7" x14ac:dyDescent="0.35">
      <c r="A357" s="10" t="s">
        <v>1382</v>
      </c>
      <c r="B357" s="10" t="s">
        <v>848</v>
      </c>
      <c r="C357" s="10" t="s">
        <v>1383</v>
      </c>
      <c r="D357" s="10" t="s">
        <v>41</v>
      </c>
      <c r="E357" s="10" t="s">
        <v>41</v>
      </c>
      <c r="F357" s="10" t="s">
        <v>26</v>
      </c>
      <c r="G357" s="10">
        <v>4522.8500000000004</v>
      </c>
    </row>
    <row r="358" spans="1:7" x14ac:dyDescent="0.35">
      <c r="A358" s="10" t="s">
        <v>1384</v>
      </c>
      <c r="B358" s="10" t="s">
        <v>1385</v>
      </c>
      <c r="C358" s="10" t="s">
        <v>1386</v>
      </c>
      <c r="D358" s="10" t="s">
        <v>1387</v>
      </c>
      <c r="E358" s="10" t="s">
        <v>1139</v>
      </c>
      <c r="F358" s="10" t="s">
        <v>24</v>
      </c>
      <c r="G358" s="10">
        <v>1567.87</v>
      </c>
    </row>
    <row r="359" spans="1:7" x14ac:dyDescent="0.35">
      <c r="A359" s="10" t="s">
        <v>1388</v>
      </c>
      <c r="B359" s="10" t="s">
        <v>110</v>
      </c>
      <c r="C359" s="10" t="s">
        <v>1389</v>
      </c>
      <c r="D359" s="10" t="s">
        <v>1390</v>
      </c>
      <c r="E359" s="10" t="s">
        <v>41</v>
      </c>
      <c r="F359" s="10" t="s">
        <v>20</v>
      </c>
      <c r="G359" s="10">
        <v>2015.09</v>
      </c>
    </row>
    <row r="360" spans="1:7" x14ac:dyDescent="0.35">
      <c r="A360" s="10" t="s">
        <v>1391</v>
      </c>
      <c r="B360" s="10" t="s">
        <v>114</v>
      </c>
      <c r="C360" s="10" t="s">
        <v>1392</v>
      </c>
      <c r="D360" s="10" t="s">
        <v>1393</v>
      </c>
      <c r="E360" s="10" t="s">
        <v>1394</v>
      </c>
      <c r="F360" s="10" t="s">
        <v>27</v>
      </c>
      <c r="G360" s="10">
        <v>478.29</v>
      </c>
    </row>
    <row r="361" spans="1:7" x14ac:dyDescent="0.35">
      <c r="A361" s="10" t="s">
        <v>1395</v>
      </c>
      <c r="B361" s="10" t="s">
        <v>772</v>
      </c>
      <c r="C361" s="10" t="s">
        <v>1396</v>
      </c>
      <c r="D361" s="10" t="s">
        <v>1397</v>
      </c>
      <c r="E361" s="10" t="s">
        <v>1398</v>
      </c>
      <c r="F361" s="10" t="s">
        <v>28</v>
      </c>
      <c r="G361" s="10">
        <v>3727.25</v>
      </c>
    </row>
    <row r="362" spans="1:7" x14ac:dyDescent="0.35">
      <c r="A362" s="10" t="s">
        <v>1399</v>
      </c>
      <c r="B362" s="10" t="s">
        <v>89</v>
      </c>
      <c r="C362" s="10" t="s">
        <v>1400</v>
      </c>
      <c r="D362" s="10" t="s">
        <v>1401</v>
      </c>
      <c r="E362" s="10" t="s">
        <v>41</v>
      </c>
      <c r="F362" s="10" t="s">
        <v>27</v>
      </c>
      <c r="G362" s="10">
        <v>2166.9899999999998</v>
      </c>
    </row>
    <row r="363" spans="1:7" x14ac:dyDescent="0.35">
      <c r="A363" s="10" t="s">
        <v>1402</v>
      </c>
      <c r="B363" s="10" t="s">
        <v>903</v>
      </c>
      <c r="C363" s="10" t="s">
        <v>1403</v>
      </c>
      <c r="D363" s="10" t="s">
        <v>41</v>
      </c>
      <c r="E363" s="10" t="s">
        <v>1404</v>
      </c>
      <c r="F363" s="10" t="s">
        <v>26</v>
      </c>
      <c r="G363" s="10">
        <v>1997.7</v>
      </c>
    </row>
    <row r="364" spans="1:7" x14ac:dyDescent="0.35">
      <c r="A364" s="10" t="s">
        <v>1405</v>
      </c>
      <c r="B364" s="10" t="s">
        <v>777</v>
      </c>
      <c r="C364" s="10" t="s">
        <v>1406</v>
      </c>
      <c r="D364" s="10" t="s">
        <v>41</v>
      </c>
      <c r="E364" s="10" t="s">
        <v>1407</v>
      </c>
      <c r="F364" s="10" t="s">
        <v>24</v>
      </c>
      <c r="G364" s="10">
        <v>2448.5100000000002</v>
      </c>
    </row>
    <row r="365" spans="1:7" x14ac:dyDescent="0.35">
      <c r="A365" s="10" t="s">
        <v>1408</v>
      </c>
      <c r="B365" s="10" t="s">
        <v>690</v>
      </c>
      <c r="C365" s="10" t="s">
        <v>1409</v>
      </c>
      <c r="D365" s="10" t="s">
        <v>41</v>
      </c>
      <c r="E365" s="10" t="s">
        <v>1410</v>
      </c>
      <c r="F365" s="10" t="s">
        <v>29</v>
      </c>
      <c r="G365" s="10">
        <v>4031.36</v>
      </c>
    </row>
    <row r="366" spans="1:7" x14ac:dyDescent="0.35">
      <c r="A366" s="10" t="s">
        <v>1411</v>
      </c>
      <c r="B366" s="10" t="s">
        <v>785</v>
      </c>
      <c r="C366" s="10" t="s">
        <v>1412</v>
      </c>
      <c r="D366" s="10" t="s">
        <v>1413</v>
      </c>
      <c r="E366" s="10" t="s">
        <v>41</v>
      </c>
      <c r="F366" s="10" t="s">
        <v>29</v>
      </c>
      <c r="G366" s="10">
        <v>205.8</v>
      </c>
    </row>
    <row r="367" spans="1:7" x14ac:dyDescent="0.35">
      <c r="A367" s="10" t="s">
        <v>1414</v>
      </c>
      <c r="B367" s="10" t="s">
        <v>1415</v>
      </c>
      <c r="C367" s="10" t="s">
        <v>1416</v>
      </c>
      <c r="D367" s="10" t="s">
        <v>1417</v>
      </c>
      <c r="E367" s="10" t="s">
        <v>1418</v>
      </c>
      <c r="F367" s="10" t="s">
        <v>28</v>
      </c>
      <c r="G367" s="10">
        <v>816.54</v>
      </c>
    </row>
    <row r="368" spans="1:7" x14ac:dyDescent="0.35">
      <c r="A368" s="10" t="s">
        <v>1419</v>
      </c>
      <c r="B368" s="10" t="s">
        <v>212</v>
      </c>
      <c r="C368" s="10" t="s">
        <v>1420</v>
      </c>
      <c r="D368" s="10" t="s">
        <v>1421</v>
      </c>
      <c r="E368" s="10" t="s">
        <v>1422</v>
      </c>
      <c r="F368" s="10" t="s">
        <v>26</v>
      </c>
      <c r="G368" s="10">
        <v>2547.94</v>
      </c>
    </row>
    <row r="369" spans="1:7" x14ac:dyDescent="0.35">
      <c r="A369" s="10" t="s">
        <v>1423</v>
      </c>
      <c r="B369" s="10" t="s">
        <v>1424</v>
      </c>
      <c r="C369" s="10" t="s">
        <v>1425</v>
      </c>
      <c r="D369" s="10" t="s">
        <v>1426</v>
      </c>
      <c r="E369" s="10" t="s">
        <v>1427</v>
      </c>
      <c r="F369" s="10" t="s">
        <v>29</v>
      </c>
      <c r="G369" s="10">
        <v>453.93</v>
      </c>
    </row>
    <row r="370" spans="1:7" x14ac:dyDescent="0.35">
      <c r="A370" s="10" t="s">
        <v>1428</v>
      </c>
      <c r="B370" s="10" t="s">
        <v>275</v>
      </c>
      <c r="C370" s="10" t="s">
        <v>1429</v>
      </c>
      <c r="D370" s="10" t="s">
        <v>41</v>
      </c>
      <c r="E370" s="10" t="s">
        <v>1430</v>
      </c>
      <c r="F370" s="10" t="s">
        <v>27</v>
      </c>
      <c r="G370" s="10">
        <v>3996</v>
      </c>
    </row>
    <row r="371" spans="1:7" x14ac:dyDescent="0.35">
      <c r="A371" s="10" t="s">
        <v>1431</v>
      </c>
      <c r="B371" s="10" t="s">
        <v>458</v>
      </c>
      <c r="C371" s="10" t="s">
        <v>41</v>
      </c>
      <c r="D371" s="10" t="s">
        <v>1432</v>
      </c>
      <c r="E371" s="10" t="s">
        <v>1433</v>
      </c>
      <c r="F371" s="10" t="s">
        <v>22</v>
      </c>
      <c r="G371" s="10">
        <v>492</v>
      </c>
    </row>
    <row r="372" spans="1:7" x14ac:dyDescent="0.35">
      <c r="A372" s="10" t="s">
        <v>1434</v>
      </c>
      <c r="B372" s="10" t="s">
        <v>763</v>
      </c>
      <c r="C372" s="10" t="s">
        <v>1435</v>
      </c>
      <c r="D372" s="10" t="s">
        <v>1436</v>
      </c>
      <c r="E372" s="10" t="s">
        <v>41</v>
      </c>
      <c r="F372" s="10" t="s">
        <v>28</v>
      </c>
      <c r="G372" s="10">
        <v>1132</v>
      </c>
    </row>
    <row r="373" spans="1:7" x14ac:dyDescent="0.35">
      <c r="A373" s="10" t="s">
        <v>1437</v>
      </c>
      <c r="B373" s="10" t="s">
        <v>1197</v>
      </c>
      <c r="C373" s="10" t="s">
        <v>1438</v>
      </c>
      <c r="D373" s="10" t="s">
        <v>1439</v>
      </c>
      <c r="E373" s="10" t="s">
        <v>38</v>
      </c>
      <c r="F373" s="10" t="s">
        <v>28</v>
      </c>
      <c r="G373" s="10">
        <v>4439.38</v>
      </c>
    </row>
    <row r="374" spans="1:7" x14ac:dyDescent="0.35">
      <c r="A374" s="10" t="s">
        <v>1440</v>
      </c>
      <c r="B374" s="10" t="s">
        <v>1415</v>
      </c>
      <c r="C374" s="10" t="s">
        <v>1441</v>
      </c>
      <c r="D374" s="10" t="s">
        <v>1442</v>
      </c>
      <c r="E374" s="10" t="s">
        <v>1443</v>
      </c>
      <c r="F374" s="10" t="s">
        <v>29</v>
      </c>
      <c r="G374" s="10">
        <v>990.93</v>
      </c>
    </row>
    <row r="375" spans="1:7" x14ac:dyDescent="0.35">
      <c r="A375" s="10" t="s">
        <v>1444</v>
      </c>
      <c r="B375" s="10" t="s">
        <v>1055</v>
      </c>
      <c r="C375" s="10" t="s">
        <v>1445</v>
      </c>
      <c r="D375" s="10" t="s">
        <v>41</v>
      </c>
      <c r="E375" s="10" t="s">
        <v>1446</v>
      </c>
      <c r="F375" s="10" t="s">
        <v>28</v>
      </c>
      <c r="G375" s="10">
        <v>1896.99</v>
      </c>
    </row>
    <row r="376" spans="1:7" x14ac:dyDescent="0.35">
      <c r="A376" s="10" t="s">
        <v>1447</v>
      </c>
      <c r="B376" s="10" t="s">
        <v>1424</v>
      </c>
      <c r="C376" s="10" t="s">
        <v>1448</v>
      </c>
      <c r="D376" s="10" t="s">
        <v>1449</v>
      </c>
      <c r="E376" s="10" t="s">
        <v>41</v>
      </c>
      <c r="F376" s="10" t="s">
        <v>29</v>
      </c>
      <c r="G376" s="10">
        <v>1249.78</v>
      </c>
    </row>
    <row r="377" spans="1:7" x14ac:dyDescent="0.35">
      <c r="A377" s="10" t="s">
        <v>1450</v>
      </c>
      <c r="B377" s="10" t="s">
        <v>450</v>
      </c>
      <c r="C377" s="10" t="s">
        <v>1451</v>
      </c>
      <c r="D377" s="10" t="s">
        <v>1452</v>
      </c>
      <c r="E377" s="10" t="s">
        <v>41</v>
      </c>
      <c r="F377" s="10" t="s">
        <v>26</v>
      </c>
      <c r="G377" s="10">
        <v>3741.17</v>
      </c>
    </row>
    <row r="378" spans="1:7" x14ac:dyDescent="0.35">
      <c r="A378" s="10" t="s">
        <v>1453</v>
      </c>
      <c r="B378" s="10" t="s">
        <v>374</v>
      </c>
      <c r="C378" s="10" t="s">
        <v>1454</v>
      </c>
      <c r="D378" s="10" t="s">
        <v>1455</v>
      </c>
      <c r="E378" s="10" t="s">
        <v>1456</v>
      </c>
      <c r="F378" s="10" t="s">
        <v>22</v>
      </c>
      <c r="G378" s="10">
        <v>219.19</v>
      </c>
    </row>
    <row r="379" spans="1:7" x14ac:dyDescent="0.35">
      <c r="A379" s="10" t="s">
        <v>1279</v>
      </c>
      <c r="B379" s="10" t="s">
        <v>346</v>
      </c>
      <c r="C379" s="10" t="s">
        <v>1280</v>
      </c>
      <c r="D379" s="10" t="s">
        <v>1281</v>
      </c>
      <c r="E379" s="10" t="s">
        <v>1282</v>
      </c>
      <c r="F379" s="10" t="s">
        <v>27</v>
      </c>
      <c r="G379" s="10">
        <v>4900.29</v>
      </c>
    </row>
    <row r="380" spans="1:7" x14ac:dyDescent="0.35">
      <c r="A380" s="10" t="s">
        <v>1457</v>
      </c>
      <c r="B380" s="10" t="s">
        <v>1249</v>
      </c>
      <c r="C380" s="10" t="s">
        <v>1458</v>
      </c>
      <c r="D380" s="10" t="s">
        <v>1459</v>
      </c>
      <c r="E380" s="10" t="s">
        <v>1460</v>
      </c>
      <c r="F380" s="10" t="s">
        <v>22</v>
      </c>
      <c r="G380" s="10">
        <v>0</v>
      </c>
    </row>
    <row r="381" spans="1:7" x14ac:dyDescent="0.35">
      <c r="A381" s="10" t="s">
        <v>1461</v>
      </c>
      <c r="B381" s="10" t="s">
        <v>441</v>
      </c>
      <c r="C381" s="10" t="s">
        <v>1462</v>
      </c>
      <c r="D381" s="10" t="s">
        <v>1463</v>
      </c>
      <c r="E381" s="10" t="s">
        <v>1464</v>
      </c>
      <c r="F381" s="10" t="s">
        <v>26</v>
      </c>
      <c r="G381" s="10">
        <v>3403.77</v>
      </c>
    </row>
    <row r="382" spans="1:7" x14ac:dyDescent="0.35">
      <c r="A382" s="10" t="s">
        <v>1465</v>
      </c>
      <c r="B382" s="10" t="s">
        <v>1202</v>
      </c>
      <c r="C382" s="10" t="s">
        <v>1466</v>
      </c>
      <c r="D382" s="10" t="s">
        <v>1467</v>
      </c>
      <c r="E382" s="10" t="s">
        <v>41</v>
      </c>
      <c r="F382" s="10" t="s">
        <v>26</v>
      </c>
      <c r="G382" s="10">
        <v>4846.59</v>
      </c>
    </row>
    <row r="383" spans="1:7" x14ac:dyDescent="0.35">
      <c r="A383" s="10" t="s">
        <v>1468</v>
      </c>
      <c r="B383" s="10" t="s">
        <v>230</v>
      </c>
      <c r="C383" s="10" t="s">
        <v>1469</v>
      </c>
      <c r="D383" s="10" t="s">
        <v>1470</v>
      </c>
      <c r="E383" s="10" t="s">
        <v>1471</v>
      </c>
      <c r="F383" s="10" t="s">
        <v>20</v>
      </c>
      <c r="G383" s="10">
        <v>1489.22</v>
      </c>
    </row>
    <row r="384" spans="1:7" x14ac:dyDescent="0.35">
      <c r="A384" s="10" t="s">
        <v>1472</v>
      </c>
      <c r="B384" s="10" t="s">
        <v>1473</v>
      </c>
      <c r="C384" s="10" t="s">
        <v>1474</v>
      </c>
      <c r="D384" s="10" t="s">
        <v>1475</v>
      </c>
      <c r="E384" s="10" t="s">
        <v>1476</v>
      </c>
      <c r="F384" s="10" t="s">
        <v>26</v>
      </c>
      <c r="G384" s="10">
        <v>976.89</v>
      </c>
    </row>
    <row r="385" spans="1:7" x14ac:dyDescent="0.35">
      <c r="A385" s="10" t="s">
        <v>1477</v>
      </c>
      <c r="B385" s="10" t="s">
        <v>1478</v>
      </c>
      <c r="C385" s="10" t="s">
        <v>1479</v>
      </c>
      <c r="D385" s="10" t="s">
        <v>1480</v>
      </c>
      <c r="E385" s="10" t="s">
        <v>1481</v>
      </c>
      <c r="F385" s="10" t="s">
        <v>26</v>
      </c>
      <c r="G385" s="10">
        <v>3361</v>
      </c>
    </row>
    <row r="386" spans="1:7" x14ac:dyDescent="0.35">
      <c r="A386" s="10" t="s">
        <v>1482</v>
      </c>
      <c r="B386" s="10" t="s">
        <v>230</v>
      </c>
      <c r="C386" s="10" t="s">
        <v>1483</v>
      </c>
      <c r="D386" s="10" t="s">
        <v>1484</v>
      </c>
      <c r="E386" s="10" t="s">
        <v>1485</v>
      </c>
      <c r="F386" s="10" t="s">
        <v>22</v>
      </c>
      <c r="G386" s="10">
        <v>1109</v>
      </c>
    </row>
    <row r="387" spans="1:7" x14ac:dyDescent="0.35">
      <c r="A387" s="10" t="s">
        <v>1486</v>
      </c>
      <c r="B387" s="10" t="s">
        <v>1202</v>
      </c>
      <c r="C387" s="10" t="s">
        <v>1487</v>
      </c>
      <c r="D387" s="10" t="s">
        <v>41</v>
      </c>
      <c r="E387" s="10" t="s">
        <v>987</v>
      </c>
      <c r="F387" s="10" t="s">
        <v>27</v>
      </c>
      <c r="G387" s="10">
        <v>-716</v>
      </c>
    </row>
    <row r="388" spans="1:7" x14ac:dyDescent="0.35">
      <c r="A388" s="10" t="s">
        <v>1488</v>
      </c>
      <c r="B388" s="10" t="s">
        <v>136</v>
      </c>
      <c r="C388" s="10" t="s">
        <v>1489</v>
      </c>
      <c r="D388" s="10" t="s">
        <v>1490</v>
      </c>
      <c r="E388" s="10" t="s">
        <v>1491</v>
      </c>
      <c r="F388" s="10" t="s">
        <v>26</v>
      </c>
      <c r="G388" s="10">
        <v>3897.7</v>
      </c>
    </row>
    <row r="389" spans="1:7" x14ac:dyDescent="0.35">
      <c r="A389" s="10" t="s">
        <v>1492</v>
      </c>
      <c r="B389" s="10" t="s">
        <v>641</v>
      </c>
      <c r="C389" s="10" t="s">
        <v>1493</v>
      </c>
      <c r="D389" s="10" t="s">
        <v>1494</v>
      </c>
      <c r="E389" s="10" t="s">
        <v>1495</v>
      </c>
      <c r="F389" s="10" t="s">
        <v>24</v>
      </c>
      <c r="G389" s="10">
        <v>4044</v>
      </c>
    </row>
    <row r="390" spans="1:7" x14ac:dyDescent="0.35">
      <c r="A390" s="10" t="s">
        <v>1496</v>
      </c>
      <c r="B390" s="10" t="s">
        <v>632</v>
      </c>
      <c r="C390" s="10" t="s">
        <v>1497</v>
      </c>
      <c r="D390" s="10" t="s">
        <v>1498</v>
      </c>
      <c r="E390" s="10" t="s">
        <v>1499</v>
      </c>
      <c r="F390" s="10" t="s">
        <v>20</v>
      </c>
      <c r="G390" s="10">
        <v>2727</v>
      </c>
    </row>
    <row r="391" spans="1:7" x14ac:dyDescent="0.35">
      <c r="A391" s="10" t="s">
        <v>1500</v>
      </c>
      <c r="B391" s="10" t="s">
        <v>1501</v>
      </c>
      <c r="C391" s="10" t="s">
        <v>1502</v>
      </c>
      <c r="D391" s="10" t="s">
        <v>1503</v>
      </c>
      <c r="E391" s="10" t="s">
        <v>41</v>
      </c>
      <c r="F391" s="10" t="s">
        <v>22</v>
      </c>
      <c r="G391" s="10">
        <v>3003</v>
      </c>
    </row>
    <row r="392" spans="1:7" x14ac:dyDescent="0.35">
      <c r="A392" s="10" t="s">
        <v>1504</v>
      </c>
      <c r="B392" s="10" t="s">
        <v>220</v>
      </c>
      <c r="C392" s="10" t="s">
        <v>1505</v>
      </c>
      <c r="D392" s="10" t="s">
        <v>1506</v>
      </c>
      <c r="E392" s="10" t="s">
        <v>1507</v>
      </c>
      <c r="F392" s="10" t="s">
        <v>22</v>
      </c>
      <c r="G392" s="10">
        <v>3141</v>
      </c>
    </row>
    <row r="393" spans="1:7" x14ac:dyDescent="0.35">
      <c r="A393" s="10" t="s">
        <v>1508</v>
      </c>
      <c r="B393" s="10" t="s">
        <v>105</v>
      </c>
      <c r="C393" s="10" t="s">
        <v>1509</v>
      </c>
      <c r="D393" s="10" t="s">
        <v>1510</v>
      </c>
      <c r="E393" s="10" t="s">
        <v>41</v>
      </c>
      <c r="F393" s="10" t="s">
        <v>20</v>
      </c>
      <c r="G393" s="10">
        <v>4827.21</v>
      </c>
    </row>
    <row r="394" spans="1:7" x14ac:dyDescent="0.35">
      <c r="A394" s="10" t="s">
        <v>1511</v>
      </c>
      <c r="B394" s="10" t="s">
        <v>579</v>
      </c>
      <c r="C394" s="10" t="s">
        <v>1512</v>
      </c>
      <c r="D394" s="10" t="s">
        <v>41</v>
      </c>
      <c r="E394" s="10" t="s">
        <v>41</v>
      </c>
      <c r="F394" s="10" t="s">
        <v>22</v>
      </c>
      <c r="G394" s="10">
        <v>4960.8599999999997</v>
      </c>
    </row>
    <row r="395" spans="1:7" x14ac:dyDescent="0.35">
      <c r="A395" s="10" t="s">
        <v>1513</v>
      </c>
      <c r="B395" s="10" t="s">
        <v>35</v>
      </c>
      <c r="C395" s="10" t="s">
        <v>41</v>
      </c>
      <c r="D395" s="10" t="s">
        <v>1514</v>
      </c>
      <c r="E395" s="10" t="s">
        <v>1515</v>
      </c>
      <c r="F395" s="10" t="s">
        <v>22</v>
      </c>
      <c r="G395" s="10">
        <v>4224.01</v>
      </c>
    </row>
    <row r="396" spans="1:7" x14ac:dyDescent="0.35">
      <c r="A396" s="10" t="s">
        <v>1516</v>
      </c>
      <c r="B396" s="10" t="s">
        <v>208</v>
      </c>
      <c r="C396" s="10" t="s">
        <v>41</v>
      </c>
      <c r="D396" s="10" t="s">
        <v>1517</v>
      </c>
      <c r="E396" s="10" t="s">
        <v>1518</v>
      </c>
      <c r="F396" s="10" t="s">
        <v>22</v>
      </c>
      <c r="G396" s="10">
        <v>810.21</v>
      </c>
    </row>
    <row r="397" spans="1:7" x14ac:dyDescent="0.35">
      <c r="A397" s="10" t="s">
        <v>1519</v>
      </c>
      <c r="B397" s="10" t="s">
        <v>182</v>
      </c>
      <c r="C397" s="10" t="s">
        <v>41</v>
      </c>
      <c r="D397" s="10" t="s">
        <v>1520</v>
      </c>
      <c r="E397" s="10" t="s">
        <v>890</v>
      </c>
      <c r="F397" s="10" t="s">
        <v>22</v>
      </c>
      <c r="G397" s="10">
        <v>2985.6</v>
      </c>
    </row>
    <row r="398" spans="1:7" x14ac:dyDescent="0.35">
      <c r="A398" s="10" t="s">
        <v>1521</v>
      </c>
      <c r="B398" s="10" t="s">
        <v>975</v>
      </c>
      <c r="C398" s="10" t="s">
        <v>1522</v>
      </c>
      <c r="D398" s="10" t="s">
        <v>41</v>
      </c>
      <c r="E398" s="10" t="s">
        <v>1146</v>
      </c>
      <c r="F398" s="10" t="s">
        <v>26</v>
      </c>
      <c r="G398" s="10">
        <v>-1996</v>
      </c>
    </row>
    <row r="399" spans="1:7" x14ac:dyDescent="0.35">
      <c r="A399" s="10" t="s">
        <v>1523</v>
      </c>
      <c r="B399" s="10" t="s">
        <v>927</v>
      </c>
      <c r="C399" s="10" t="s">
        <v>1524</v>
      </c>
      <c r="D399" s="10" t="s">
        <v>1525</v>
      </c>
      <c r="E399" s="10" t="s">
        <v>41</v>
      </c>
      <c r="F399" s="10" t="s">
        <v>27</v>
      </c>
      <c r="G399" s="10">
        <v>414.99</v>
      </c>
    </row>
    <row r="400" spans="1:7" x14ac:dyDescent="0.35">
      <c r="A400" s="10" t="s">
        <v>1526</v>
      </c>
      <c r="B400" s="10" t="s">
        <v>520</v>
      </c>
      <c r="C400" s="10" t="s">
        <v>1527</v>
      </c>
      <c r="D400" s="10" t="s">
        <v>1528</v>
      </c>
      <c r="E400" s="10" t="s">
        <v>1529</v>
      </c>
      <c r="F400" s="10" t="s">
        <v>29</v>
      </c>
      <c r="G400" s="10">
        <v>3873</v>
      </c>
    </row>
    <row r="401" spans="1:7" x14ac:dyDescent="0.35">
      <c r="A401" s="10" t="s">
        <v>1530</v>
      </c>
      <c r="B401" s="10" t="s">
        <v>389</v>
      </c>
      <c r="C401" s="10" t="s">
        <v>1531</v>
      </c>
      <c r="D401" s="10" t="s">
        <v>1532</v>
      </c>
      <c r="E401" s="10" t="s">
        <v>1533</v>
      </c>
      <c r="F401" s="10" t="s">
        <v>27</v>
      </c>
      <c r="G401" s="10">
        <v>4423</v>
      </c>
    </row>
    <row r="402" spans="1:7" x14ac:dyDescent="0.35">
      <c r="A402" s="10" t="s">
        <v>1534</v>
      </c>
      <c r="B402" s="10" t="s">
        <v>67</v>
      </c>
      <c r="C402" s="10" t="s">
        <v>1535</v>
      </c>
      <c r="D402" s="10" t="s">
        <v>1536</v>
      </c>
      <c r="E402" s="10" t="s">
        <v>1537</v>
      </c>
      <c r="F402" s="10" t="s">
        <v>20</v>
      </c>
      <c r="G402" s="10">
        <v>3657</v>
      </c>
    </row>
    <row r="403" spans="1:7" x14ac:dyDescent="0.35">
      <c r="A403" s="10" t="s">
        <v>1538</v>
      </c>
      <c r="B403" s="10" t="s">
        <v>848</v>
      </c>
      <c r="C403" s="10" t="s">
        <v>1539</v>
      </c>
      <c r="D403" s="10" t="s">
        <v>1540</v>
      </c>
      <c r="E403" s="10" t="s">
        <v>1541</v>
      </c>
      <c r="F403" s="10" t="s">
        <v>24</v>
      </c>
      <c r="G403" s="10">
        <v>2737.85</v>
      </c>
    </row>
    <row r="404" spans="1:7" x14ac:dyDescent="0.35">
      <c r="A404" s="10" t="s">
        <v>1542</v>
      </c>
      <c r="B404" s="10" t="s">
        <v>212</v>
      </c>
      <c r="C404" s="10" t="s">
        <v>1543</v>
      </c>
      <c r="D404" s="10" t="s">
        <v>1544</v>
      </c>
      <c r="E404" s="10" t="s">
        <v>1545</v>
      </c>
      <c r="F404" s="10" t="s">
        <v>26</v>
      </c>
      <c r="G404" s="10">
        <v>1421.15</v>
      </c>
    </row>
    <row r="405" spans="1:7" x14ac:dyDescent="0.35">
      <c r="A405" s="10" t="s">
        <v>1546</v>
      </c>
      <c r="B405" s="10" t="s">
        <v>94</v>
      </c>
      <c r="C405" s="10" t="s">
        <v>1547</v>
      </c>
      <c r="D405" s="10" t="s">
        <v>41</v>
      </c>
      <c r="E405" s="10" t="s">
        <v>1548</v>
      </c>
      <c r="F405" s="10" t="s">
        <v>27</v>
      </c>
      <c r="G405" s="10">
        <v>4575.8500000000004</v>
      </c>
    </row>
    <row r="406" spans="1:7" x14ac:dyDescent="0.35">
      <c r="A406" s="10" t="s">
        <v>1549</v>
      </c>
      <c r="B406" s="10" t="s">
        <v>1550</v>
      </c>
      <c r="C406" s="10" t="s">
        <v>1551</v>
      </c>
      <c r="D406" s="10" t="s">
        <v>41</v>
      </c>
      <c r="E406" s="10" t="s">
        <v>1552</v>
      </c>
      <c r="F406" s="10" t="s">
        <v>22</v>
      </c>
      <c r="G406" s="10">
        <v>0</v>
      </c>
    </row>
    <row r="407" spans="1:7" x14ac:dyDescent="0.35">
      <c r="A407" s="10" t="s">
        <v>1553</v>
      </c>
      <c r="B407" s="10" t="s">
        <v>121</v>
      </c>
      <c r="C407" s="10" t="s">
        <v>1554</v>
      </c>
      <c r="D407" s="10" t="s">
        <v>1555</v>
      </c>
      <c r="E407" s="10" t="s">
        <v>1556</v>
      </c>
      <c r="F407" s="10" t="s">
        <v>29</v>
      </c>
      <c r="G407" s="10">
        <v>2619.6</v>
      </c>
    </row>
    <row r="408" spans="1:7" x14ac:dyDescent="0.35">
      <c r="A408" s="10" t="s">
        <v>1557</v>
      </c>
      <c r="B408" s="10" t="s">
        <v>520</v>
      </c>
      <c r="C408" s="10" t="s">
        <v>1558</v>
      </c>
      <c r="D408" s="10" t="s">
        <v>41</v>
      </c>
      <c r="E408" s="10" t="s">
        <v>1559</v>
      </c>
      <c r="F408" s="10" t="s">
        <v>27</v>
      </c>
      <c r="G408" s="10">
        <v>1296</v>
      </c>
    </row>
    <row r="409" spans="1:7" x14ac:dyDescent="0.35">
      <c r="A409" s="10" t="s">
        <v>1560</v>
      </c>
      <c r="B409" s="10" t="s">
        <v>246</v>
      </c>
      <c r="C409" s="10" t="s">
        <v>41</v>
      </c>
      <c r="D409" s="10" t="s">
        <v>1561</v>
      </c>
      <c r="E409" s="10" t="s">
        <v>1562</v>
      </c>
      <c r="F409" s="10" t="s">
        <v>24</v>
      </c>
      <c r="G409" s="10">
        <v>2560.6</v>
      </c>
    </row>
    <row r="410" spans="1:7" x14ac:dyDescent="0.35">
      <c r="A410" s="10" t="s">
        <v>1563</v>
      </c>
      <c r="B410" s="10" t="s">
        <v>1338</v>
      </c>
      <c r="C410" s="10" t="s">
        <v>1564</v>
      </c>
      <c r="D410" s="10" t="s">
        <v>41</v>
      </c>
      <c r="E410" s="10" t="s">
        <v>1565</v>
      </c>
      <c r="F410" s="10" t="s">
        <v>24</v>
      </c>
      <c r="G410" s="10">
        <v>4351.95</v>
      </c>
    </row>
    <row r="411" spans="1:7" x14ac:dyDescent="0.35">
      <c r="A411" s="10" t="s">
        <v>1566</v>
      </c>
      <c r="B411" s="10" t="s">
        <v>441</v>
      </c>
      <c r="C411" s="10" t="s">
        <v>1567</v>
      </c>
      <c r="D411" s="10" t="s">
        <v>41</v>
      </c>
      <c r="E411" s="10" t="s">
        <v>1568</v>
      </c>
      <c r="F411" s="10" t="s">
        <v>29</v>
      </c>
      <c r="G411" s="10">
        <v>4504.66</v>
      </c>
    </row>
    <row r="412" spans="1:7" x14ac:dyDescent="0.35">
      <c r="A412" s="10" t="s">
        <v>1569</v>
      </c>
      <c r="B412" s="10" t="s">
        <v>1130</v>
      </c>
      <c r="C412" s="10" t="s">
        <v>1570</v>
      </c>
      <c r="D412" s="10" t="s">
        <v>1571</v>
      </c>
      <c r="E412" s="10" t="s">
        <v>1572</v>
      </c>
      <c r="F412" s="10" t="s">
        <v>28</v>
      </c>
      <c r="G412" s="10">
        <v>1023.48</v>
      </c>
    </row>
    <row r="413" spans="1:7" x14ac:dyDescent="0.35">
      <c r="A413" s="10" t="s">
        <v>1573</v>
      </c>
      <c r="B413" s="10" t="s">
        <v>1014</v>
      </c>
      <c r="C413" s="10" t="s">
        <v>1574</v>
      </c>
      <c r="D413" s="10" t="s">
        <v>1575</v>
      </c>
      <c r="E413" s="10" t="s">
        <v>1576</v>
      </c>
      <c r="F413" s="10" t="s">
        <v>29</v>
      </c>
      <c r="G413" s="10">
        <v>1438</v>
      </c>
    </row>
    <row r="414" spans="1:7" x14ac:dyDescent="0.35">
      <c r="A414" s="10" t="s">
        <v>1577</v>
      </c>
      <c r="B414" s="10" t="s">
        <v>1114</v>
      </c>
      <c r="C414" s="10" t="s">
        <v>1578</v>
      </c>
      <c r="D414" s="10" t="s">
        <v>1579</v>
      </c>
      <c r="E414" s="10" t="s">
        <v>1580</v>
      </c>
      <c r="F414" s="10" t="s">
        <v>22</v>
      </c>
      <c r="G414" s="10">
        <v>2731.26</v>
      </c>
    </row>
    <row r="415" spans="1:7" x14ac:dyDescent="0.35">
      <c r="A415" s="10" t="s">
        <v>168</v>
      </c>
      <c r="B415" s="10" t="s">
        <v>105</v>
      </c>
      <c r="C415" s="10" t="s">
        <v>169</v>
      </c>
      <c r="D415" s="10" t="s">
        <v>170</v>
      </c>
      <c r="E415" s="10" t="s">
        <v>171</v>
      </c>
      <c r="F415" s="10" t="s">
        <v>20</v>
      </c>
      <c r="G415" s="10">
        <v>2119.75</v>
      </c>
    </row>
    <row r="416" spans="1:7" x14ac:dyDescent="0.35">
      <c r="A416" s="10" t="s">
        <v>1581</v>
      </c>
      <c r="B416" s="10" t="s">
        <v>80</v>
      </c>
      <c r="C416" s="10" t="s">
        <v>1582</v>
      </c>
      <c r="D416" s="10" t="s">
        <v>1583</v>
      </c>
      <c r="E416" s="10" t="s">
        <v>1584</v>
      </c>
      <c r="F416" s="10" t="s">
        <v>28</v>
      </c>
      <c r="G416" s="10">
        <v>2374.62</v>
      </c>
    </row>
    <row r="417" spans="1:7" x14ac:dyDescent="0.35">
      <c r="A417" s="10" t="s">
        <v>1585</v>
      </c>
      <c r="B417" s="10" t="s">
        <v>721</v>
      </c>
      <c r="C417" s="10" t="s">
        <v>1586</v>
      </c>
      <c r="D417" s="10" t="s">
        <v>1587</v>
      </c>
      <c r="E417" s="10" t="s">
        <v>1588</v>
      </c>
      <c r="F417" s="10" t="s">
        <v>22</v>
      </c>
      <c r="G417" s="10">
        <v>4446.09</v>
      </c>
    </row>
    <row r="418" spans="1:7" x14ac:dyDescent="0.35">
      <c r="A418" s="10" t="s">
        <v>1589</v>
      </c>
      <c r="B418" s="10" t="s">
        <v>58</v>
      </c>
      <c r="C418" s="10" t="s">
        <v>1590</v>
      </c>
      <c r="D418" s="10" t="s">
        <v>1591</v>
      </c>
      <c r="E418" s="10" t="s">
        <v>41</v>
      </c>
      <c r="F418" s="10" t="s">
        <v>20</v>
      </c>
      <c r="G418" s="10">
        <v>179.06</v>
      </c>
    </row>
    <row r="419" spans="1:7" x14ac:dyDescent="0.35">
      <c r="A419" s="10" t="s">
        <v>1592</v>
      </c>
      <c r="B419" s="10" t="s">
        <v>58</v>
      </c>
      <c r="C419" s="10" t="s">
        <v>1593</v>
      </c>
      <c r="D419" s="10" t="s">
        <v>1594</v>
      </c>
      <c r="E419" s="10" t="s">
        <v>1595</v>
      </c>
      <c r="F419" s="10" t="s">
        <v>22</v>
      </c>
      <c r="G419" s="10">
        <v>624.79999999999995</v>
      </c>
    </row>
    <row r="420" spans="1:7" x14ac:dyDescent="0.35">
      <c r="A420" s="10" t="s">
        <v>1596</v>
      </c>
      <c r="B420" s="10" t="s">
        <v>461</v>
      </c>
      <c r="C420" s="10" t="s">
        <v>1597</v>
      </c>
      <c r="D420" s="10" t="s">
        <v>1598</v>
      </c>
      <c r="E420" s="10" t="s">
        <v>1599</v>
      </c>
      <c r="F420" s="10" t="s">
        <v>27</v>
      </c>
      <c r="G420" s="10">
        <v>215.57</v>
      </c>
    </row>
    <row r="421" spans="1:7" x14ac:dyDescent="0.35">
      <c r="A421" s="10" t="s">
        <v>1600</v>
      </c>
      <c r="B421" s="10" t="s">
        <v>220</v>
      </c>
      <c r="C421" s="10" t="s">
        <v>1601</v>
      </c>
      <c r="D421" s="10" t="s">
        <v>1602</v>
      </c>
      <c r="E421" s="10" t="s">
        <v>941</v>
      </c>
      <c r="F421" s="10" t="s">
        <v>27</v>
      </c>
      <c r="G421" s="10">
        <v>3505.12</v>
      </c>
    </row>
    <row r="422" spans="1:7" x14ac:dyDescent="0.35">
      <c r="A422" s="10" t="s">
        <v>1603</v>
      </c>
      <c r="B422" s="10" t="s">
        <v>863</v>
      </c>
      <c r="C422" s="10" t="s">
        <v>1604</v>
      </c>
      <c r="D422" s="10" t="s">
        <v>1605</v>
      </c>
      <c r="E422" s="10" t="s">
        <v>1606</v>
      </c>
      <c r="F422" s="10" t="s">
        <v>20</v>
      </c>
      <c r="G422" s="10">
        <v>3702.69</v>
      </c>
    </row>
    <row r="423" spans="1:7" x14ac:dyDescent="0.35">
      <c r="A423" s="10" t="s">
        <v>1607</v>
      </c>
      <c r="B423" s="10" t="s">
        <v>453</v>
      </c>
      <c r="C423" s="10" t="s">
        <v>1608</v>
      </c>
      <c r="D423" s="10" t="s">
        <v>41</v>
      </c>
      <c r="E423" s="10" t="s">
        <v>1609</v>
      </c>
      <c r="F423" s="10" t="s">
        <v>24</v>
      </c>
      <c r="G423" s="10">
        <v>2619.9699999999998</v>
      </c>
    </row>
    <row r="424" spans="1:7" x14ac:dyDescent="0.35">
      <c r="A424" s="10" t="s">
        <v>1610</v>
      </c>
      <c r="B424" s="10" t="s">
        <v>1079</v>
      </c>
      <c r="C424" s="10" t="s">
        <v>1611</v>
      </c>
      <c r="D424" s="10" t="s">
        <v>1612</v>
      </c>
      <c r="E424" s="10" t="s">
        <v>1613</v>
      </c>
      <c r="F424" s="10" t="s">
        <v>29</v>
      </c>
      <c r="G424" s="10">
        <v>4648.0600000000004</v>
      </c>
    </row>
    <row r="425" spans="1:7" x14ac:dyDescent="0.35">
      <c r="A425" s="10" t="s">
        <v>1614</v>
      </c>
      <c r="B425" s="10" t="s">
        <v>385</v>
      </c>
      <c r="C425" s="10" t="s">
        <v>1615</v>
      </c>
      <c r="D425" s="10" t="s">
        <v>1616</v>
      </c>
      <c r="E425" s="10" t="s">
        <v>1617</v>
      </c>
      <c r="F425" s="10" t="s">
        <v>27</v>
      </c>
      <c r="G425" s="10">
        <v>-3100</v>
      </c>
    </row>
    <row r="426" spans="1:7" x14ac:dyDescent="0.35">
      <c r="A426" s="10" t="s">
        <v>1618</v>
      </c>
      <c r="B426" s="10" t="s">
        <v>225</v>
      </c>
      <c r="C426" s="10" t="s">
        <v>1619</v>
      </c>
      <c r="D426" s="10" t="s">
        <v>1620</v>
      </c>
      <c r="E426" s="10" t="s">
        <v>41</v>
      </c>
      <c r="F426" s="10" t="s">
        <v>27</v>
      </c>
      <c r="G426" s="10">
        <v>866.76</v>
      </c>
    </row>
    <row r="427" spans="1:7" x14ac:dyDescent="0.35">
      <c r="A427" s="10" t="s">
        <v>1621</v>
      </c>
      <c r="B427" s="10" t="s">
        <v>739</v>
      </c>
      <c r="C427" s="10" t="s">
        <v>1622</v>
      </c>
      <c r="D427" s="10" t="s">
        <v>1623</v>
      </c>
      <c r="E427" s="10" t="s">
        <v>41</v>
      </c>
      <c r="F427" s="10" t="s">
        <v>27</v>
      </c>
      <c r="G427" s="10">
        <v>859.99</v>
      </c>
    </row>
    <row r="428" spans="1:7" x14ac:dyDescent="0.35">
      <c r="A428" s="10" t="s">
        <v>1624</v>
      </c>
      <c r="B428" s="10" t="s">
        <v>234</v>
      </c>
      <c r="C428" s="10" t="s">
        <v>1625</v>
      </c>
      <c r="D428" s="10" t="s">
        <v>1626</v>
      </c>
      <c r="E428" s="10" t="s">
        <v>1627</v>
      </c>
      <c r="F428" s="10" t="s">
        <v>29</v>
      </c>
      <c r="G428" s="10">
        <v>698</v>
      </c>
    </row>
    <row r="429" spans="1:7" x14ac:dyDescent="0.35">
      <c r="A429" s="10" t="s">
        <v>1628</v>
      </c>
      <c r="B429" s="10" t="s">
        <v>234</v>
      </c>
      <c r="C429" s="10" t="s">
        <v>1629</v>
      </c>
      <c r="D429" s="10" t="s">
        <v>1630</v>
      </c>
      <c r="E429" s="10" t="s">
        <v>1631</v>
      </c>
      <c r="F429" s="10" t="s">
        <v>24</v>
      </c>
      <c r="G429" s="10">
        <v>2752.69</v>
      </c>
    </row>
    <row r="430" spans="1:7" x14ac:dyDescent="0.35">
      <c r="A430" s="10" t="s">
        <v>1632</v>
      </c>
      <c r="B430" s="10" t="s">
        <v>1633</v>
      </c>
      <c r="C430" s="10" t="s">
        <v>1634</v>
      </c>
      <c r="D430" s="10" t="s">
        <v>1635</v>
      </c>
      <c r="E430" s="10" t="s">
        <v>1636</v>
      </c>
      <c r="F430" s="10" t="s">
        <v>29</v>
      </c>
      <c r="G430" s="10">
        <v>2750.04</v>
      </c>
    </row>
    <row r="431" spans="1:7" x14ac:dyDescent="0.35">
      <c r="A431" s="10" t="s">
        <v>1637</v>
      </c>
      <c r="B431" s="10" t="s">
        <v>1338</v>
      </c>
      <c r="C431" s="10" t="s">
        <v>1638</v>
      </c>
      <c r="D431" s="10" t="s">
        <v>1639</v>
      </c>
      <c r="E431" s="10" t="s">
        <v>1640</v>
      </c>
      <c r="F431" s="10" t="s">
        <v>29</v>
      </c>
      <c r="G431" s="10">
        <v>3303.1</v>
      </c>
    </row>
    <row r="432" spans="1:7" x14ac:dyDescent="0.35">
      <c r="A432" s="10" t="s">
        <v>1641</v>
      </c>
      <c r="B432" s="10" t="s">
        <v>313</v>
      </c>
      <c r="C432" s="10" t="s">
        <v>1642</v>
      </c>
      <c r="D432" s="10" t="s">
        <v>1643</v>
      </c>
      <c r="E432" s="10" t="s">
        <v>1644</v>
      </c>
      <c r="F432" s="10" t="s">
        <v>20</v>
      </c>
      <c r="G432" s="10">
        <v>4060.04</v>
      </c>
    </row>
    <row r="433" spans="1:7" x14ac:dyDescent="0.35">
      <c r="A433" s="10" t="s">
        <v>1645</v>
      </c>
      <c r="B433" s="10" t="s">
        <v>155</v>
      </c>
      <c r="C433" s="10" t="s">
        <v>1646</v>
      </c>
      <c r="D433" s="10" t="s">
        <v>41</v>
      </c>
      <c r="E433" s="10" t="s">
        <v>1647</v>
      </c>
      <c r="F433" s="10" t="s">
        <v>29</v>
      </c>
      <c r="G433" s="10">
        <v>1158.71</v>
      </c>
    </row>
    <row r="434" spans="1:7" x14ac:dyDescent="0.35">
      <c r="A434" s="10" t="s">
        <v>1648</v>
      </c>
      <c r="B434" s="10" t="s">
        <v>1202</v>
      </c>
      <c r="C434" s="10" t="s">
        <v>1649</v>
      </c>
      <c r="D434" s="10" t="s">
        <v>1650</v>
      </c>
      <c r="E434" s="10" t="s">
        <v>41</v>
      </c>
      <c r="F434" s="10" t="s">
        <v>28</v>
      </c>
      <c r="G434" s="10">
        <v>3530.57</v>
      </c>
    </row>
    <row r="435" spans="1:7" x14ac:dyDescent="0.35">
      <c r="A435" s="10" t="s">
        <v>1651</v>
      </c>
      <c r="B435" s="10" t="s">
        <v>97</v>
      </c>
      <c r="C435" s="10" t="s">
        <v>1652</v>
      </c>
      <c r="D435" s="10" t="s">
        <v>1653</v>
      </c>
      <c r="E435" s="10" t="s">
        <v>1654</v>
      </c>
      <c r="F435" s="10" t="s">
        <v>22</v>
      </c>
      <c r="G435" s="10">
        <v>1978.6</v>
      </c>
    </row>
    <row r="436" spans="1:7" x14ac:dyDescent="0.35">
      <c r="A436" s="10" t="s">
        <v>1655</v>
      </c>
      <c r="B436" s="10" t="s">
        <v>552</v>
      </c>
      <c r="C436" s="10" t="s">
        <v>1656</v>
      </c>
      <c r="D436" s="10" t="s">
        <v>1657</v>
      </c>
      <c r="E436" s="10" t="s">
        <v>1658</v>
      </c>
      <c r="F436" s="10" t="s">
        <v>20</v>
      </c>
      <c r="G436" s="10">
        <v>1019.04</v>
      </c>
    </row>
    <row r="437" spans="1:7" x14ac:dyDescent="0.35">
      <c r="A437" s="10" t="s">
        <v>1659</v>
      </c>
      <c r="B437" s="10" t="s">
        <v>557</v>
      </c>
      <c r="C437" s="10" t="s">
        <v>1660</v>
      </c>
      <c r="D437" s="10" t="s">
        <v>1661</v>
      </c>
      <c r="E437" s="10" t="s">
        <v>1476</v>
      </c>
      <c r="F437" s="10" t="s">
        <v>27</v>
      </c>
      <c r="G437" s="10">
        <v>2414.5500000000002</v>
      </c>
    </row>
    <row r="438" spans="1:7" x14ac:dyDescent="0.35">
      <c r="A438" s="10" t="s">
        <v>1662</v>
      </c>
      <c r="B438" s="10" t="s">
        <v>557</v>
      </c>
      <c r="C438" s="10" t="s">
        <v>1663</v>
      </c>
      <c r="D438" s="10" t="s">
        <v>1664</v>
      </c>
      <c r="E438" s="10" t="s">
        <v>1665</v>
      </c>
      <c r="F438" s="10" t="s">
        <v>22</v>
      </c>
      <c r="G438" s="10">
        <v>4743.1099999999997</v>
      </c>
    </row>
    <row r="439" spans="1:7" x14ac:dyDescent="0.35">
      <c r="A439" s="10" t="s">
        <v>1666</v>
      </c>
      <c r="B439" s="10" t="s">
        <v>75</v>
      </c>
      <c r="C439" s="10" t="s">
        <v>41</v>
      </c>
      <c r="D439" s="10" t="s">
        <v>1667</v>
      </c>
      <c r="E439" s="10" t="s">
        <v>41</v>
      </c>
      <c r="F439" s="10" t="s">
        <v>28</v>
      </c>
      <c r="G439" s="10">
        <v>4597</v>
      </c>
    </row>
    <row r="440" spans="1:7" x14ac:dyDescent="0.35">
      <c r="A440" s="10" t="s">
        <v>1668</v>
      </c>
      <c r="B440" s="10" t="s">
        <v>1313</v>
      </c>
      <c r="C440" s="10" t="s">
        <v>1669</v>
      </c>
      <c r="D440" s="10" t="s">
        <v>1670</v>
      </c>
      <c r="E440" s="10" t="s">
        <v>1671</v>
      </c>
      <c r="F440" s="10" t="s">
        <v>26</v>
      </c>
      <c r="G440" s="10">
        <v>3228</v>
      </c>
    </row>
    <row r="441" spans="1:7" x14ac:dyDescent="0.35">
      <c r="A441" s="10" t="s">
        <v>1672</v>
      </c>
      <c r="B441" s="10" t="s">
        <v>45</v>
      </c>
      <c r="C441" s="10" t="s">
        <v>1673</v>
      </c>
      <c r="D441" s="10" t="s">
        <v>1674</v>
      </c>
      <c r="E441" s="10" t="s">
        <v>1675</v>
      </c>
      <c r="F441" s="10" t="s">
        <v>26</v>
      </c>
      <c r="G441" s="10">
        <v>1102.76</v>
      </c>
    </row>
    <row r="442" spans="1:7" x14ac:dyDescent="0.35">
      <c r="A442" s="10" t="s">
        <v>1676</v>
      </c>
      <c r="B442" s="10" t="s">
        <v>1249</v>
      </c>
      <c r="C442" s="10" t="s">
        <v>1677</v>
      </c>
      <c r="D442" s="10" t="s">
        <v>41</v>
      </c>
      <c r="E442" s="10" t="s">
        <v>1678</v>
      </c>
      <c r="F442" s="10" t="s">
        <v>29</v>
      </c>
      <c r="G442" s="10">
        <v>2556.09</v>
      </c>
    </row>
    <row r="443" spans="1:7" x14ac:dyDescent="0.35">
      <c r="A443" s="10" t="s">
        <v>1679</v>
      </c>
      <c r="B443" s="10" t="s">
        <v>288</v>
      </c>
      <c r="C443" s="10" t="s">
        <v>1680</v>
      </c>
      <c r="D443" s="10" t="s">
        <v>1681</v>
      </c>
      <c r="E443" s="10" t="s">
        <v>1446</v>
      </c>
      <c r="F443" s="10" t="s">
        <v>26</v>
      </c>
      <c r="G443" s="10">
        <v>2861.89</v>
      </c>
    </row>
    <row r="444" spans="1:7" x14ac:dyDescent="0.35">
      <c r="A444" s="10" t="s">
        <v>1682</v>
      </c>
      <c r="B444" s="10" t="s">
        <v>927</v>
      </c>
      <c r="C444" s="10" t="s">
        <v>1683</v>
      </c>
      <c r="D444" s="10" t="s">
        <v>1684</v>
      </c>
      <c r="E444" s="10" t="s">
        <v>1685</v>
      </c>
      <c r="F444" s="10" t="s">
        <v>26</v>
      </c>
      <c r="G444" s="10">
        <v>4670.53</v>
      </c>
    </row>
    <row r="445" spans="1:7" x14ac:dyDescent="0.35">
      <c r="A445" s="10" t="s">
        <v>1686</v>
      </c>
      <c r="B445" s="10" t="s">
        <v>368</v>
      </c>
      <c r="C445" s="10" t="s">
        <v>41</v>
      </c>
      <c r="D445" s="10" t="s">
        <v>1687</v>
      </c>
      <c r="E445" s="10" t="s">
        <v>1688</v>
      </c>
      <c r="F445" s="10" t="s">
        <v>29</v>
      </c>
      <c r="G445" s="10">
        <v>2302.71</v>
      </c>
    </row>
    <row r="446" spans="1:7" x14ac:dyDescent="0.35">
      <c r="A446" s="10" t="s">
        <v>1689</v>
      </c>
      <c r="B446" s="10" t="s">
        <v>354</v>
      </c>
      <c r="C446" s="10" t="s">
        <v>1690</v>
      </c>
      <c r="D446" s="10" t="s">
        <v>1691</v>
      </c>
      <c r="E446" s="10" t="s">
        <v>1692</v>
      </c>
      <c r="F446" s="10" t="s">
        <v>20</v>
      </c>
      <c r="G446" s="10">
        <v>1824.81</v>
      </c>
    </row>
    <row r="447" spans="1:7" x14ac:dyDescent="0.35">
      <c r="A447" s="10" t="s">
        <v>1693</v>
      </c>
      <c r="B447" s="10" t="s">
        <v>58</v>
      </c>
      <c r="C447" s="10" t="s">
        <v>1694</v>
      </c>
      <c r="D447" s="10" t="s">
        <v>1695</v>
      </c>
      <c r="E447" s="10" t="s">
        <v>1696</v>
      </c>
      <c r="F447" s="10" t="s">
        <v>27</v>
      </c>
      <c r="G447" s="10">
        <v>-1438</v>
      </c>
    </row>
    <row r="448" spans="1:7" x14ac:dyDescent="0.35">
      <c r="A448" s="10" t="s">
        <v>1697</v>
      </c>
      <c r="B448" s="10" t="s">
        <v>1317</v>
      </c>
      <c r="C448" s="10" t="s">
        <v>41</v>
      </c>
      <c r="D448" s="10" t="s">
        <v>1698</v>
      </c>
      <c r="E448" s="10" t="s">
        <v>1699</v>
      </c>
      <c r="F448" s="10" t="s">
        <v>22</v>
      </c>
      <c r="G448" s="10">
        <v>768.18</v>
      </c>
    </row>
    <row r="449" spans="1:7" x14ac:dyDescent="0.35">
      <c r="A449" s="10" t="s">
        <v>1700</v>
      </c>
      <c r="B449" s="10" t="s">
        <v>1701</v>
      </c>
      <c r="C449" s="10" t="s">
        <v>41</v>
      </c>
      <c r="D449" s="10" t="s">
        <v>1702</v>
      </c>
      <c r="E449" s="10" t="s">
        <v>1703</v>
      </c>
      <c r="F449" s="10" t="s">
        <v>27</v>
      </c>
      <c r="G449" s="10">
        <v>3980.26</v>
      </c>
    </row>
    <row r="450" spans="1:7" x14ac:dyDescent="0.35">
      <c r="A450" s="10" t="s">
        <v>1704</v>
      </c>
      <c r="B450" s="10" t="s">
        <v>445</v>
      </c>
      <c r="C450" s="10" t="s">
        <v>1705</v>
      </c>
      <c r="D450" s="10" t="s">
        <v>41</v>
      </c>
      <c r="E450" s="10" t="s">
        <v>1706</v>
      </c>
      <c r="F450" s="10" t="s">
        <v>27</v>
      </c>
      <c r="G450" s="10">
        <v>3082.27</v>
      </c>
    </row>
    <row r="451" spans="1:7" x14ac:dyDescent="0.35">
      <c r="A451" s="10" t="s">
        <v>1707</v>
      </c>
      <c r="B451" s="10" t="s">
        <v>682</v>
      </c>
      <c r="C451" s="10" t="s">
        <v>1708</v>
      </c>
      <c r="D451" s="10" t="s">
        <v>1709</v>
      </c>
      <c r="E451" s="10" t="s">
        <v>1710</v>
      </c>
      <c r="F451" s="10" t="s">
        <v>20</v>
      </c>
      <c r="G451" s="10">
        <v>1643.95</v>
      </c>
    </row>
    <row r="452" spans="1:7" x14ac:dyDescent="0.35">
      <c r="A452" s="10" t="s">
        <v>1711</v>
      </c>
      <c r="B452" s="10" t="s">
        <v>1211</v>
      </c>
      <c r="C452" s="10" t="s">
        <v>1712</v>
      </c>
      <c r="D452" s="10" t="s">
        <v>1713</v>
      </c>
      <c r="E452" s="10" t="s">
        <v>1714</v>
      </c>
      <c r="F452" s="10" t="s">
        <v>28</v>
      </c>
      <c r="G452" s="10">
        <v>3714.91</v>
      </c>
    </row>
    <row r="453" spans="1:7" x14ac:dyDescent="0.35">
      <c r="A453" s="10" t="s">
        <v>1715</v>
      </c>
      <c r="B453" s="10" t="s">
        <v>1004</v>
      </c>
      <c r="C453" s="10" t="s">
        <v>1716</v>
      </c>
      <c r="D453" s="10" t="s">
        <v>1717</v>
      </c>
      <c r="E453" s="10" t="s">
        <v>1718</v>
      </c>
      <c r="F453" s="10" t="s">
        <v>20</v>
      </c>
      <c r="G453" s="10">
        <v>1520.46</v>
      </c>
    </row>
    <row r="454" spans="1:7" x14ac:dyDescent="0.35">
      <c r="A454" s="10" t="s">
        <v>1719</v>
      </c>
      <c r="B454" s="10" t="s">
        <v>275</v>
      </c>
      <c r="C454" s="10" t="s">
        <v>1720</v>
      </c>
      <c r="D454" s="10" t="s">
        <v>1721</v>
      </c>
      <c r="E454" s="10" t="s">
        <v>1722</v>
      </c>
      <c r="F454" s="10" t="s">
        <v>29</v>
      </c>
      <c r="G454" s="10">
        <v>1843.44</v>
      </c>
    </row>
    <row r="455" spans="1:7" x14ac:dyDescent="0.35">
      <c r="A455" s="10" t="s">
        <v>1723</v>
      </c>
      <c r="B455" s="10" t="s">
        <v>785</v>
      </c>
      <c r="C455" s="10" t="s">
        <v>1724</v>
      </c>
      <c r="D455" s="10" t="s">
        <v>1725</v>
      </c>
      <c r="E455" s="10" t="s">
        <v>228</v>
      </c>
      <c r="F455" s="10" t="s">
        <v>29</v>
      </c>
      <c r="G455" s="10">
        <v>3569.35</v>
      </c>
    </row>
    <row r="456" spans="1:7" x14ac:dyDescent="0.35">
      <c r="A456" s="10" t="s">
        <v>1726</v>
      </c>
      <c r="B456" s="10" t="s">
        <v>1727</v>
      </c>
      <c r="C456" s="10" t="s">
        <v>1728</v>
      </c>
      <c r="D456" s="10" t="s">
        <v>1729</v>
      </c>
      <c r="E456" s="10" t="s">
        <v>1730</v>
      </c>
      <c r="F456" s="10" t="s">
        <v>28</v>
      </c>
      <c r="G456" s="10">
        <v>4224.6000000000004</v>
      </c>
    </row>
    <row r="457" spans="1:7" x14ac:dyDescent="0.35">
      <c r="A457" s="10" t="s">
        <v>1731</v>
      </c>
      <c r="B457" s="10" t="s">
        <v>1501</v>
      </c>
      <c r="C457" s="10" t="s">
        <v>1732</v>
      </c>
      <c r="D457" s="10" t="s">
        <v>41</v>
      </c>
      <c r="E457" s="10" t="s">
        <v>334</v>
      </c>
      <c r="F457" s="10" t="s">
        <v>29</v>
      </c>
      <c r="G457" s="10">
        <v>2375.1999999999998</v>
      </c>
    </row>
    <row r="458" spans="1:7" x14ac:dyDescent="0.35">
      <c r="A458" s="10" t="s">
        <v>1733</v>
      </c>
      <c r="B458" s="10" t="s">
        <v>173</v>
      </c>
      <c r="C458" s="10" t="s">
        <v>1734</v>
      </c>
      <c r="D458" s="10" t="s">
        <v>41</v>
      </c>
      <c r="E458" s="10" t="s">
        <v>592</v>
      </c>
      <c r="F458" s="10" t="s">
        <v>24</v>
      </c>
      <c r="G458" s="10">
        <v>1024.97</v>
      </c>
    </row>
    <row r="459" spans="1:7" x14ac:dyDescent="0.35">
      <c r="A459" s="10" t="s">
        <v>1735</v>
      </c>
      <c r="B459" s="10" t="s">
        <v>341</v>
      </c>
      <c r="C459" s="10" t="s">
        <v>1736</v>
      </c>
      <c r="D459" s="10" t="s">
        <v>1737</v>
      </c>
      <c r="E459" s="10" t="s">
        <v>1738</v>
      </c>
      <c r="F459" s="10" t="s">
        <v>26</v>
      </c>
      <c r="G459" s="10">
        <v>1566.43</v>
      </c>
    </row>
    <row r="460" spans="1:7" x14ac:dyDescent="0.35">
      <c r="A460" s="10" t="s">
        <v>1739</v>
      </c>
      <c r="B460" s="10" t="s">
        <v>597</v>
      </c>
      <c r="C460" s="10" t="s">
        <v>1740</v>
      </c>
      <c r="D460" s="10" t="s">
        <v>1741</v>
      </c>
      <c r="E460" s="10" t="s">
        <v>1742</v>
      </c>
      <c r="F460" s="10" t="s">
        <v>28</v>
      </c>
      <c r="G460" s="10">
        <v>2915.69</v>
      </c>
    </row>
    <row r="461" spans="1:7" x14ac:dyDescent="0.35">
      <c r="A461" s="10" t="s">
        <v>1743</v>
      </c>
      <c r="B461" s="10" t="s">
        <v>1424</v>
      </c>
      <c r="C461" s="10" t="s">
        <v>1744</v>
      </c>
      <c r="D461" s="10" t="s">
        <v>1745</v>
      </c>
      <c r="E461" s="10" t="s">
        <v>1746</v>
      </c>
      <c r="F461" s="10" t="s">
        <v>22</v>
      </c>
      <c r="G461" s="10">
        <v>-2381</v>
      </c>
    </row>
    <row r="462" spans="1:7" x14ac:dyDescent="0.35">
      <c r="A462" s="10" t="s">
        <v>1747</v>
      </c>
      <c r="B462" s="10" t="s">
        <v>1415</v>
      </c>
      <c r="C462" s="10" t="s">
        <v>1748</v>
      </c>
      <c r="D462" s="10" t="s">
        <v>1749</v>
      </c>
      <c r="E462" s="10" t="s">
        <v>41</v>
      </c>
      <c r="F462" s="10" t="s">
        <v>22</v>
      </c>
      <c r="G462" s="10">
        <v>3198.87</v>
      </c>
    </row>
    <row r="463" spans="1:7" x14ac:dyDescent="0.35">
      <c r="A463" s="10" t="s">
        <v>69</v>
      </c>
      <c r="B463" s="10" t="s">
        <v>70</v>
      </c>
      <c r="C463" s="10" t="s">
        <v>71</v>
      </c>
      <c r="D463" s="10" t="s">
        <v>72</v>
      </c>
      <c r="E463" s="10" t="s">
        <v>73</v>
      </c>
      <c r="F463" s="10" t="s">
        <v>20</v>
      </c>
      <c r="G463" s="10">
        <v>3687.78</v>
      </c>
    </row>
    <row r="464" spans="1:7" x14ac:dyDescent="0.35">
      <c r="A464" s="10" t="s">
        <v>1750</v>
      </c>
      <c r="B464" s="10" t="s">
        <v>739</v>
      </c>
      <c r="C464" s="10" t="s">
        <v>1751</v>
      </c>
      <c r="D464" s="10" t="s">
        <v>1752</v>
      </c>
      <c r="E464" s="10" t="s">
        <v>1753</v>
      </c>
      <c r="F464" s="10" t="s">
        <v>29</v>
      </c>
      <c r="G464" s="10">
        <v>3076.74</v>
      </c>
    </row>
    <row r="465" spans="1:7" x14ac:dyDescent="0.35">
      <c r="A465" s="10" t="s">
        <v>1754</v>
      </c>
      <c r="B465" s="10" t="s">
        <v>441</v>
      </c>
      <c r="C465" s="10" t="s">
        <v>1755</v>
      </c>
      <c r="D465" s="10" t="s">
        <v>41</v>
      </c>
      <c r="E465" s="10" t="s">
        <v>1756</v>
      </c>
      <c r="F465" s="10" t="s">
        <v>28</v>
      </c>
      <c r="G465" s="10">
        <v>2034.65</v>
      </c>
    </row>
    <row r="466" spans="1:7" x14ac:dyDescent="0.35">
      <c r="A466" s="10" t="s">
        <v>1757</v>
      </c>
      <c r="B466" s="10" t="s">
        <v>1385</v>
      </c>
      <c r="C466" s="10" t="s">
        <v>1758</v>
      </c>
      <c r="D466" s="10" t="s">
        <v>41</v>
      </c>
      <c r="E466" s="10" t="s">
        <v>41</v>
      </c>
      <c r="F466" s="10" t="s">
        <v>28</v>
      </c>
      <c r="G466" s="10">
        <v>1171.31</v>
      </c>
    </row>
    <row r="467" spans="1:7" x14ac:dyDescent="0.35">
      <c r="A467" s="10" t="s">
        <v>1759</v>
      </c>
      <c r="B467" s="10" t="s">
        <v>1317</v>
      </c>
      <c r="C467" s="10" t="s">
        <v>1760</v>
      </c>
      <c r="D467" s="10" t="s">
        <v>1761</v>
      </c>
      <c r="E467" s="10" t="s">
        <v>582</v>
      </c>
      <c r="F467" s="10" t="s">
        <v>27</v>
      </c>
      <c r="G467" s="10">
        <v>0</v>
      </c>
    </row>
    <row r="468" spans="1:7" x14ac:dyDescent="0.35">
      <c r="A468" s="10" t="s">
        <v>1762</v>
      </c>
      <c r="B468" s="10" t="s">
        <v>690</v>
      </c>
      <c r="C468" s="10" t="s">
        <v>1763</v>
      </c>
      <c r="D468" s="10" t="s">
        <v>1764</v>
      </c>
      <c r="E468" s="10" t="s">
        <v>1765</v>
      </c>
      <c r="F468" s="10" t="s">
        <v>29</v>
      </c>
      <c r="G468" s="10">
        <v>880.95</v>
      </c>
    </row>
    <row r="469" spans="1:7" x14ac:dyDescent="0.35">
      <c r="A469" s="10" t="s">
        <v>1766</v>
      </c>
      <c r="B469" s="10" t="s">
        <v>777</v>
      </c>
      <c r="C469" s="10" t="s">
        <v>1767</v>
      </c>
      <c r="D469" s="10" t="s">
        <v>1768</v>
      </c>
      <c r="E469" s="10" t="s">
        <v>1769</v>
      </c>
      <c r="F469" s="10" t="s">
        <v>29</v>
      </c>
      <c r="G469" s="10">
        <v>3816.42</v>
      </c>
    </row>
    <row r="470" spans="1:7" x14ac:dyDescent="0.35">
      <c r="A470" s="10" t="s">
        <v>1770</v>
      </c>
      <c r="B470" s="10" t="s">
        <v>1110</v>
      </c>
      <c r="C470" s="10" t="s">
        <v>1771</v>
      </c>
      <c r="D470" s="10" t="s">
        <v>1772</v>
      </c>
      <c r="E470" s="10" t="s">
        <v>1773</v>
      </c>
      <c r="F470" s="10" t="s">
        <v>24</v>
      </c>
      <c r="G470" s="10">
        <v>3658.22</v>
      </c>
    </row>
    <row r="471" spans="1:7" x14ac:dyDescent="0.35">
      <c r="A471" s="10" t="s">
        <v>1774</v>
      </c>
      <c r="B471" s="10" t="s">
        <v>1775</v>
      </c>
      <c r="C471" s="10" t="s">
        <v>1776</v>
      </c>
      <c r="D471" s="10" t="s">
        <v>1777</v>
      </c>
      <c r="E471" s="10" t="s">
        <v>41</v>
      </c>
      <c r="F471" s="10" t="s">
        <v>26</v>
      </c>
      <c r="G471" s="10">
        <v>2687.06</v>
      </c>
    </row>
    <row r="472" spans="1:7" x14ac:dyDescent="0.35">
      <c r="A472" s="10" t="s">
        <v>1778</v>
      </c>
      <c r="B472" s="10" t="s">
        <v>63</v>
      </c>
      <c r="C472" s="10" t="s">
        <v>1779</v>
      </c>
      <c r="D472" s="10" t="s">
        <v>41</v>
      </c>
      <c r="E472" s="10" t="s">
        <v>1780</v>
      </c>
      <c r="F472" s="10" t="s">
        <v>27</v>
      </c>
      <c r="G472" s="10">
        <v>3822.39</v>
      </c>
    </row>
    <row r="473" spans="1:7" x14ac:dyDescent="0.35">
      <c r="A473" s="10" t="s">
        <v>1781</v>
      </c>
      <c r="B473" s="10" t="s">
        <v>1727</v>
      </c>
      <c r="C473" s="10" t="s">
        <v>1782</v>
      </c>
      <c r="D473" s="10" t="s">
        <v>41</v>
      </c>
      <c r="E473" s="10" t="s">
        <v>1783</v>
      </c>
      <c r="F473" s="10" t="s">
        <v>20</v>
      </c>
      <c r="G473" s="10">
        <v>1931.62</v>
      </c>
    </row>
    <row r="474" spans="1:7" x14ac:dyDescent="0.35">
      <c r="A474" s="10" t="s">
        <v>1784</v>
      </c>
      <c r="B474" s="10" t="s">
        <v>1118</v>
      </c>
      <c r="C474" s="10" t="s">
        <v>1785</v>
      </c>
      <c r="D474" s="10" t="s">
        <v>1786</v>
      </c>
      <c r="E474" s="10" t="s">
        <v>41</v>
      </c>
      <c r="F474" s="10" t="s">
        <v>28</v>
      </c>
      <c r="G474" s="10">
        <v>-4651</v>
      </c>
    </row>
    <row r="475" spans="1:7" x14ac:dyDescent="0.35">
      <c r="A475" s="10" t="s">
        <v>1787</v>
      </c>
      <c r="B475" s="10" t="s">
        <v>1114</v>
      </c>
      <c r="C475" s="10" t="s">
        <v>1788</v>
      </c>
      <c r="D475" s="10" t="s">
        <v>1789</v>
      </c>
      <c r="E475" s="10" t="s">
        <v>1790</v>
      </c>
      <c r="F475" s="10" t="s">
        <v>22</v>
      </c>
      <c r="G475" s="10">
        <v>969.96</v>
      </c>
    </row>
    <row r="476" spans="1:7" x14ac:dyDescent="0.35">
      <c r="A476" s="10" t="s">
        <v>1791</v>
      </c>
      <c r="B476" s="10" t="s">
        <v>450</v>
      </c>
      <c r="C476" s="10" t="s">
        <v>1792</v>
      </c>
      <c r="D476" s="10" t="s">
        <v>1793</v>
      </c>
      <c r="E476" s="10" t="s">
        <v>523</v>
      </c>
      <c r="F476" s="10" t="s">
        <v>27</v>
      </c>
      <c r="G476" s="10">
        <v>3180.88</v>
      </c>
    </row>
    <row r="477" spans="1:7" x14ac:dyDescent="0.35">
      <c r="A477" s="10" t="s">
        <v>1794</v>
      </c>
      <c r="B477" s="10" t="s">
        <v>1048</v>
      </c>
      <c r="C477" s="10" t="s">
        <v>1795</v>
      </c>
      <c r="D477" s="10" t="s">
        <v>1796</v>
      </c>
      <c r="E477" s="10" t="s">
        <v>1797</v>
      </c>
      <c r="F477" s="10" t="s">
        <v>28</v>
      </c>
      <c r="G477" s="10">
        <v>1537.76</v>
      </c>
    </row>
    <row r="478" spans="1:7" x14ac:dyDescent="0.35">
      <c r="A478" s="10" t="s">
        <v>1798</v>
      </c>
      <c r="B478" s="10" t="s">
        <v>903</v>
      </c>
      <c r="C478" s="10" t="s">
        <v>1799</v>
      </c>
      <c r="D478" s="10" t="s">
        <v>1800</v>
      </c>
      <c r="E478" s="10" t="s">
        <v>1801</v>
      </c>
      <c r="F478" s="10" t="s">
        <v>29</v>
      </c>
      <c r="G478" s="10">
        <v>1262.6600000000001</v>
      </c>
    </row>
    <row r="479" spans="1:7" x14ac:dyDescent="0.35">
      <c r="A479" s="10" t="s">
        <v>1802</v>
      </c>
      <c r="B479" s="10" t="s">
        <v>1424</v>
      </c>
      <c r="C479" s="10" t="s">
        <v>1803</v>
      </c>
      <c r="D479" s="10" t="s">
        <v>41</v>
      </c>
      <c r="E479" s="10" t="s">
        <v>1804</v>
      </c>
      <c r="F479" s="10" t="s">
        <v>29</v>
      </c>
      <c r="G479" s="10">
        <v>673.76</v>
      </c>
    </row>
    <row r="480" spans="1:7" x14ac:dyDescent="0.35">
      <c r="A480" s="10" t="s">
        <v>340</v>
      </c>
      <c r="B480" s="10" t="s">
        <v>341</v>
      </c>
      <c r="C480" s="10" t="s">
        <v>342</v>
      </c>
      <c r="D480" s="10" t="s">
        <v>343</v>
      </c>
      <c r="E480" s="10" t="s">
        <v>344</v>
      </c>
      <c r="F480" s="10" t="s">
        <v>26</v>
      </c>
      <c r="G480" s="10">
        <v>2435.5</v>
      </c>
    </row>
    <row r="481" spans="1:7" x14ac:dyDescent="0.35">
      <c r="A481" s="10" t="s">
        <v>1805</v>
      </c>
      <c r="B481" s="10" t="s">
        <v>1550</v>
      </c>
      <c r="C481" s="10" t="s">
        <v>1806</v>
      </c>
      <c r="D481" s="10" t="s">
        <v>1807</v>
      </c>
      <c r="E481" s="10" t="s">
        <v>1808</v>
      </c>
      <c r="F481" s="10" t="s">
        <v>28</v>
      </c>
      <c r="G481" s="10">
        <v>3004.77</v>
      </c>
    </row>
    <row r="482" spans="1:7" x14ac:dyDescent="0.35">
      <c r="A482" s="10" t="s">
        <v>1809</v>
      </c>
      <c r="B482" s="10" t="s">
        <v>872</v>
      </c>
      <c r="C482" s="10" t="s">
        <v>1810</v>
      </c>
      <c r="D482" s="10" t="s">
        <v>1811</v>
      </c>
      <c r="E482" s="10" t="s">
        <v>1812</v>
      </c>
      <c r="F482" s="10" t="s">
        <v>22</v>
      </c>
      <c r="G482" s="10">
        <v>1222.93</v>
      </c>
    </row>
    <row r="483" spans="1:7" x14ac:dyDescent="0.35">
      <c r="A483" s="10" t="s">
        <v>1813</v>
      </c>
      <c r="B483" s="10" t="s">
        <v>1110</v>
      </c>
      <c r="C483" s="10" t="s">
        <v>1814</v>
      </c>
      <c r="D483" s="10" t="s">
        <v>1815</v>
      </c>
      <c r="E483" s="10" t="s">
        <v>1816</v>
      </c>
      <c r="F483" s="10" t="s">
        <v>26</v>
      </c>
      <c r="G483" s="10">
        <v>2739.84</v>
      </c>
    </row>
    <row r="484" spans="1:7" x14ac:dyDescent="0.35">
      <c r="A484" s="10" t="s">
        <v>1817</v>
      </c>
      <c r="B484" s="10" t="s">
        <v>354</v>
      </c>
      <c r="C484" s="10" t="s">
        <v>1818</v>
      </c>
      <c r="D484" s="10" t="s">
        <v>1819</v>
      </c>
      <c r="E484" s="10" t="s">
        <v>41</v>
      </c>
      <c r="F484" s="10" t="s">
        <v>29</v>
      </c>
      <c r="G484" s="10">
        <v>3166.77</v>
      </c>
    </row>
    <row r="485" spans="1:7" x14ac:dyDescent="0.35">
      <c r="A485" s="10" t="s">
        <v>1323</v>
      </c>
      <c r="B485" s="10" t="s">
        <v>450</v>
      </c>
      <c r="C485" s="10" t="s">
        <v>1324</v>
      </c>
      <c r="D485" s="10" t="s">
        <v>41</v>
      </c>
      <c r="E485" s="10" t="s">
        <v>1325</v>
      </c>
      <c r="F485" s="10" t="s">
        <v>26</v>
      </c>
      <c r="G485" s="10">
        <v>2797.38</v>
      </c>
    </row>
    <row r="486" spans="1:7" x14ac:dyDescent="0.35">
      <c r="A486" s="10" t="s">
        <v>1820</v>
      </c>
      <c r="B486" s="10" t="s">
        <v>239</v>
      </c>
      <c r="C486" s="10" t="s">
        <v>1821</v>
      </c>
      <c r="D486" s="10" t="s">
        <v>41</v>
      </c>
      <c r="E486" s="10" t="s">
        <v>1822</v>
      </c>
      <c r="F486" s="10" t="s">
        <v>29</v>
      </c>
      <c r="G486" s="10">
        <v>3730.57</v>
      </c>
    </row>
    <row r="487" spans="1:7" x14ac:dyDescent="0.35">
      <c r="A487" s="10" t="s">
        <v>1823</v>
      </c>
      <c r="B487" s="10" t="s">
        <v>1048</v>
      </c>
      <c r="C487" s="10" t="s">
        <v>1824</v>
      </c>
      <c r="D487" s="10" t="s">
        <v>41</v>
      </c>
      <c r="E487" s="10" t="s">
        <v>1825</v>
      </c>
      <c r="F487" s="10" t="s">
        <v>26</v>
      </c>
      <c r="G487" s="10">
        <v>0</v>
      </c>
    </row>
    <row r="488" spans="1:7" x14ac:dyDescent="0.35">
      <c r="A488" s="10" t="s">
        <v>1826</v>
      </c>
      <c r="B488" s="10" t="s">
        <v>863</v>
      </c>
      <c r="C488" s="10" t="s">
        <v>1827</v>
      </c>
      <c r="D488" s="10" t="s">
        <v>1828</v>
      </c>
      <c r="E488" s="10" t="s">
        <v>41</v>
      </c>
      <c r="F488" s="10" t="s">
        <v>26</v>
      </c>
      <c r="G488" s="10">
        <v>3616.38</v>
      </c>
    </row>
    <row r="489" spans="1:7" x14ac:dyDescent="0.35">
      <c r="A489" s="10" t="s">
        <v>1829</v>
      </c>
      <c r="B489" s="10" t="s">
        <v>677</v>
      </c>
      <c r="C489" s="10" t="s">
        <v>1830</v>
      </c>
      <c r="D489" s="10" t="s">
        <v>41</v>
      </c>
      <c r="E489" s="10" t="s">
        <v>1831</v>
      </c>
      <c r="F489" s="10" t="s">
        <v>26</v>
      </c>
      <c r="G489" s="10">
        <v>1266.3900000000001</v>
      </c>
    </row>
    <row r="490" spans="1:7" x14ac:dyDescent="0.35">
      <c r="A490" s="10" t="s">
        <v>1832</v>
      </c>
      <c r="B490" s="10" t="s">
        <v>121</v>
      </c>
      <c r="C490" s="10" t="s">
        <v>1833</v>
      </c>
      <c r="D490" s="10" t="s">
        <v>1834</v>
      </c>
      <c r="E490" s="10" t="s">
        <v>1835</v>
      </c>
      <c r="F490" s="10" t="s">
        <v>24</v>
      </c>
      <c r="G490" s="10">
        <v>1185.3800000000001</v>
      </c>
    </row>
    <row r="491" spans="1:7" x14ac:dyDescent="0.35">
      <c r="A491" s="10" t="s">
        <v>1836</v>
      </c>
      <c r="B491" s="10" t="s">
        <v>989</v>
      </c>
      <c r="C491" s="10" t="s">
        <v>1837</v>
      </c>
      <c r="D491" s="10" t="s">
        <v>1838</v>
      </c>
      <c r="E491" s="10" t="s">
        <v>1839</v>
      </c>
      <c r="F491" s="10" t="s">
        <v>22</v>
      </c>
      <c r="G491" s="10">
        <v>2604.79</v>
      </c>
    </row>
    <row r="492" spans="1:7" x14ac:dyDescent="0.35">
      <c r="A492" s="10" t="s">
        <v>1840</v>
      </c>
      <c r="B492" s="10" t="s">
        <v>199</v>
      </c>
      <c r="C492" s="10" t="s">
        <v>1841</v>
      </c>
      <c r="D492" s="10" t="s">
        <v>41</v>
      </c>
      <c r="E492" s="10" t="s">
        <v>41</v>
      </c>
      <c r="F492" s="10" t="s">
        <v>27</v>
      </c>
      <c r="G492" s="10">
        <v>2263</v>
      </c>
    </row>
    <row r="493" spans="1:7" x14ac:dyDescent="0.35">
      <c r="A493" s="10" t="s">
        <v>1842</v>
      </c>
      <c r="B493" s="10" t="s">
        <v>1180</v>
      </c>
      <c r="C493" s="10" t="s">
        <v>1843</v>
      </c>
      <c r="D493" s="10" t="s">
        <v>1844</v>
      </c>
      <c r="E493" s="10" t="s">
        <v>41</v>
      </c>
      <c r="F493" s="10" t="s">
        <v>26</v>
      </c>
      <c r="G493" s="10">
        <v>0</v>
      </c>
    </row>
    <row r="494" spans="1:7" x14ac:dyDescent="0.35">
      <c r="A494" s="10" t="s">
        <v>1845</v>
      </c>
      <c r="B494" s="10" t="s">
        <v>624</v>
      </c>
      <c r="C494" s="10" t="s">
        <v>41</v>
      </c>
      <c r="D494" s="10" t="s">
        <v>1846</v>
      </c>
      <c r="E494" s="10" t="s">
        <v>41</v>
      </c>
      <c r="F494" s="10" t="s">
        <v>29</v>
      </c>
      <c r="G494" s="10">
        <v>4570.58</v>
      </c>
    </row>
    <row r="495" spans="1:7" x14ac:dyDescent="0.35">
      <c r="A495" s="10" t="s">
        <v>1847</v>
      </c>
      <c r="B495" s="10" t="s">
        <v>620</v>
      </c>
      <c r="C495" s="10" t="s">
        <v>1848</v>
      </c>
      <c r="D495" s="10" t="s">
        <v>41</v>
      </c>
      <c r="E495" s="10" t="s">
        <v>1849</v>
      </c>
      <c r="F495" s="10" t="s">
        <v>28</v>
      </c>
      <c r="G495" s="10">
        <v>1796</v>
      </c>
    </row>
    <row r="496" spans="1:7" x14ac:dyDescent="0.35">
      <c r="A496" s="10" t="s">
        <v>1850</v>
      </c>
      <c r="B496" s="10" t="s">
        <v>1851</v>
      </c>
      <c r="C496" s="10" t="s">
        <v>1852</v>
      </c>
      <c r="D496" s="10" t="s">
        <v>1853</v>
      </c>
      <c r="E496" s="10" t="s">
        <v>1854</v>
      </c>
      <c r="F496" s="10" t="s">
        <v>26</v>
      </c>
      <c r="G496" s="10">
        <v>327.44</v>
      </c>
    </row>
    <row r="497" spans="1:7" x14ac:dyDescent="0.35">
      <c r="A497" s="10" t="s">
        <v>1855</v>
      </c>
      <c r="B497" s="10" t="s">
        <v>204</v>
      </c>
      <c r="C497" s="10" t="s">
        <v>1856</v>
      </c>
      <c r="D497" s="10" t="s">
        <v>1857</v>
      </c>
      <c r="E497" s="10" t="s">
        <v>1858</v>
      </c>
      <c r="F497" s="10" t="s">
        <v>22</v>
      </c>
      <c r="G497" s="10">
        <v>124.91</v>
      </c>
    </row>
    <row r="498" spans="1:7" x14ac:dyDescent="0.35">
      <c r="A498" s="10" t="s">
        <v>1859</v>
      </c>
      <c r="B498" s="10" t="s">
        <v>275</v>
      </c>
      <c r="C498" s="10" t="s">
        <v>1860</v>
      </c>
      <c r="D498" s="10" t="s">
        <v>1861</v>
      </c>
      <c r="E498" s="10" t="s">
        <v>1862</v>
      </c>
      <c r="F498" s="10" t="s">
        <v>22</v>
      </c>
      <c r="G498" s="10">
        <v>4269.83</v>
      </c>
    </row>
    <row r="499" spans="1:7" x14ac:dyDescent="0.35">
      <c r="A499" s="10" t="s">
        <v>1863</v>
      </c>
      <c r="B499" s="10" t="s">
        <v>461</v>
      </c>
      <c r="C499" s="10" t="s">
        <v>1864</v>
      </c>
      <c r="D499" s="10" t="s">
        <v>1865</v>
      </c>
      <c r="E499" s="10" t="s">
        <v>1866</v>
      </c>
      <c r="F499" s="10" t="s">
        <v>26</v>
      </c>
      <c r="G499" s="10">
        <v>2539.91</v>
      </c>
    </row>
    <row r="500" spans="1:7" x14ac:dyDescent="0.35">
      <c r="A500" s="10" t="s">
        <v>1867</v>
      </c>
      <c r="B500" s="10" t="s">
        <v>516</v>
      </c>
      <c r="C500" s="10" t="s">
        <v>1868</v>
      </c>
      <c r="D500" s="10" t="s">
        <v>1869</v>
      </c>
      <c r="E500" s="10" t="s">
        <v>1870</v>
      </c>
      <c r="F500" s="10" t="s">
        <v>27</v>
      </c>
      <c r="G500" s="10">
        <v>3582.59</v>
      </c>
    </row>
    <row r="501" spans="1:7" x14ac:dyDescent="0.35">
      <c r="A501" s="10" t="s">
        <v>1871</v>
      </c>
      <c r="B501" s="10" t="s">
        <v>191</v>
      </c>
      <c r="C501" s="10" t="s">
        <v>1872</v>
      </c>
      <c r="D501" s="10" t="s">
        <v>1873</v>
      </c>
      <c r="E501" s="10" t="s">
        <v>41</v>
      </c>
      <c r="F501" s="10" t="s">
        <v>28</v>
      </c>
      <c r="G501" s="10">
        <v>398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503"/>
  <sheetViews>
    <sheetView zoomScaleNormal="100" workbookViewId="0">
      <pane ySplit="1" topLeftCell="A65" activePane="bottomLeft" state="frozen"/>
      <selection pane="bottomLeft"/>
    </sheetView>
  </sheetViews>
  <sheetFormatPr defaultColWidth="8.6328125" defaultRowHeight="14.5" x14ac:dyDescent="0.35"/>
  <cols>
    <col min="1" max="1" width="12" customWidth="1"/>
    <col min="2" max="2" width="18" customWidth="1"/>
    <col min="3" max="3" width="26" customWidth="1"/>
    <col min="4" max="4" width="14" customWidth="1"/>
    <col min="5" max="5" width="16" customWidth="1"/>
    <col min="6" max="6" width="12" customWidth="1"/>
    <col min="7" max="7" width="13" customWidth="1"/>
    <col min="8" max="9" width="11" customWidth="1"/>
    <col min="10" max="10" width="16" customWidth="1"/>
    <col min="11" max="11" width="12" customWidth="1"/>
  </cols>
  <sheetData>
    <row r="1" spans="1:11" x14ac:dyDescent="0.35">
      <c r="A1" s="13" t="s">
        <v>30</v>
      </c>
      <c r="B1" s="13" t="s">
        <v>31</v>
      </c>
      <c r="C1" s="13" t="s">
        <v>21</v>
      </c>
      <c r="D1" s="13" t="s">
        <v>1874</v>
      </c>
      <c r="E1" s="13" t="s">
        <v>23</v>
      </c>
      <c r="F1" s="13" t="s">
        <v>1875</v>
      </c>
      <c r="G1" s="13" t="s">
        <v>32</v>
      </c>
      <c r="H1" s="13" t="s">
        <v>1876</v>
      </c>
      <c r="I1" s="13" t="s">
        <v>1877</v>
      </c>
      <c r="J1" s="13" t="s">
        <v>13</v>
      </c>
      <c r="K1" s="13" t="s">
        <v>33</v>
      </c>
    </row>
    <row r="2" spans="1:11" x14ac:dyDescent="0.35">
      <c r="A2" s="10" t="s">
        <v>34</v>
      </c>
      <c r="B2" s="10" t="s">
        <v>35</v>
      </c>
      <c r="C2" s="10" t="s">
        <v>36</v>
      </c>
      <c r="D2" s="10" t="s">
        <v>1878</v>
      </c>
      <c r="E2" s="10" t="s">
        <v>1879</v>
      </c>
      <c r="F2" s="10" t="s">
        <v>1878</v>
      </c>
      <c r="G2" s="14">
        <v>45431</v>
      </c>
      <c r="H2">
        <v>2024</v>
      </c>
      <c r="I2" s="10" t="s">
        <v>1878</v>
      </c>
      <c r="J2" s="10" t="s">
        <v>28</v>
      </c>
      <c r="K2" s="15">
        <v>3678.99</v>
      </c>
    </row>
    <row r="3" spans="1:11" x14ac:dyDescent="0.35">
      <c r="A3" s="10" t="s">
        <v>39</v>
      </c>
      <c r="B3" s="10" t="s">
        <v>40</v>
      </c>
      <c r="C3" s="10" t="s">
        <v>18</v>
      </c>
      <c r="D3" s="16" t="s">
        <v>18</v>
      </c>
      <c r="E3" s="10" t="s">
        <v>1880</v>
      </c>
      <c r="F3" s="10" t="s">
        <v>1878</v>
      </c>
      <c r="G3" s="14">
        <v>43835</v>
      </c>
      <c r="H3">
        <v>2020</v>
      </c>
      <c r="I3" s="10" t="s">
        <v>1878</v>
      </c>
      <c r="J3" s="10" t="s">
        <v>20</v>
      </c>
      <c r="K3" s="15">
        <v>4753.6499999999996</v>
      </c>
    </row>
    <row r="4" spans="1:11" x14ac:dyDescent="0.35">
      <c r="A4" s="10" t="s">
        <v>44</v>
      </c>
      <c r="B4" s="10" t="s">
        <v>45</v>
      </c>
      <c r="C4" s="10" t="s">
        <v>46</v>
      </c>
      <c r="D4" s="10" t="s">
        <v>1878</v>
      </c>
      <c r="E4" s="10" t="s">
        <v>18</v>
      </c>
      <c r="F4" s="16" t="s">
        <v>18</v>
      </c>
      <c r="G4" s="14">
        <v>43757</v>
      </c>
      <c r="H4">
        <v>2019</v>
      </c>
      <c r="I4" s="10" t="s">
        <v>1878</v>
      </c>
      <c r="J4" s="10" t="s">
        <v>28</v>
      </c>
      <c r="K4" s="15">
        <v>2682.49</v>
      </c>
    </row>
    <row r="5" spans="1:11" x14ac:dyDescent="0.35">
      <c r="A5" s="10" t="s">
        <v>48</v>
      </c>
      <c r="B5" s="10" t="s">
        <v>49</v>
      </c>
      <c r="C5" s="10" t="s">
        <v>50</v>
      </c>
      <c r="D5" s="10" t="s">
        <v>1878</v>
      </c>
      <c r="E5" s="10" t="s">
        <v>1881</v>
      </c>
      <c r="F5" s="10" t="s">
        <v>1878</v>
      </c>
      <c r="G5" s="17" t="s">
        <v>18</v>
      </c>
      <c r="I5" s="16" t="s">
        <v>18</v>
      </c>
      <c r="J5" s="10" t="s">
        <v>29</v>
      </c>
      <c r="K5" s="15">
        <v>2195.69</v>
      </c>
    </row>
    <row r="6" spans="1:11" x14ac:dyDescent="0.35">
      <c r="A6" s="10" t="s">
        <v>52</v>
      </c>
      <c r="B6" s="10" t="s">
        <v>53</v>
      </c>
      <c r="C6" s="10" t="s">
        <v>54</v>
      </c>
      <c r="D6" s="10" t="s">
        <v>1878</v>
      </c>
      <c r="E6" s="10" t="s">
        <v>1882</v>
      </c>
      <c r="F6" s="10" t="s">
        <v>1878</v>
      </c>
      <c r="G6" s="14">
        <v>45188</v>
      </c>
      <c r="H6">
        <v>2023</v>
      </c>
      <c r="I6" s="10" t="s">
        <v>1878</v>
      </c>
      <c r="J6" s="10" t="s">
        <v>26</v>
      </c>
      <c r="K6" s="15">
        <v>3809</v>
      </c>
    </row>
    <row r="7" spans="1:11" x14ac:dyDescent="0.35">
      <c r="A7" s="10" t="s">
        <v>57</v>
      </c>
      <c r="B7" s="10" t="s">
        <v>58</v>
      </c>
      <c r="C7" s="10" t="s">
        <v>59</v>
      </c>
      <c r="D7" s="10" t="s">
        <v>1878</v>
      </c>
      <c r="E7" s="10" t="s">
        <v>1883</v>
      </c>
      <c r="F7" s="10" t="s">
        <v>1878</v>
      </c>
      <c r="G7" s="14">
        <v>44562</v>
      </c>
      <c r="H7">
        <v>2022</v>
      </c>
      <c r="I7" s="10" t="s">
        <v>1878</v>
      </c>
      <c r="J7" s="10" t="s">
        <v>24</v>
      </c>
      <c r="K7" s="15">
        <v>1015.52</v>
      </c>
    </row>
    <row r="8" spans="1:11" x14ac:dyDescent="0.35">
      <c r="A8" s="10" t="s">
        <v>62</v>
      </c>
      <c r="B8" s="10" t="s">
        <v>63</v>
      </c>
      <c r="C8" s="10" t="s">
        <v>64</v>
      </c>
      <c r="D8" s="10" t="s">
        <v>1878</v>
      </c>
      <c r="E8" s="10" t="s">
        <v>18</v>
      </c>
      <c r="F8" s="16" t="s">
        <v>18</v>
      </c>
      <c r="G8" s="14">
        <v>43959</v>
      </c>
      <c r="H8">
        <v>2020</v>
      </c>
      <c r="I8" s="10" t="s">
        <v>1878</v>
      </c>
      <c r="J8" s="10" t="s">
        <v>26</v>
      </c>
      <c r="K8" s="15">
        <v>3931.66</v>
      </c>
    </row>
    <row r="9" spans="1:11" x14ac:dyDescent="0.35">
      <c r="A9" s="10" t="s">
        <v>66</v>
      </c>
      <c r="B9" s="10" t="s">
        <v>67</v>
      </c>
      <c r="C9" s="10" t="s">
        <v>18</v>
      </c>
      <c r="D9" s="16" t="s">
        <v>18</v>
      </c>
      <c r="E9" s="10" t="s">
        <v>18</v>
      </c>
      <c r="F9" s="16" t="s">
        <v>18</v>
      </c>
      <c r="G9" s="14">
        <v>44183</v>
      </c>
      <c r="H9">
        <v>2020</v>
      </c>
      <c r="I9" s="10" t="s">
        <v>1878</v>
      </c>
      <c r="J9" s="10" t="s">
        <v>28</v>
      </c>
      <c r="K9" s="15">
        <v>3514.72</v>
      </c>
    </row>
    <row r="10" spans="1:11" x14ac:dyDescent="0.35">
      <c r="A10" s="10" t="s">
        <v>69</v>
      </c>
      <c r="B10" s="10" t="s">
        <v>70</v>
      </c>
      <c r="C10" s="10" t="s">
        <v>71</v>
      </c>
      <c r="D10" s="10" t="s">
        <v>1878</v>
      </c>
      <c r="E10" s="10" t="s">
        <v>72</v>
      </c>
      <c r="F10" s="10" t="s">
        <v>1878</v>
      </c>
      <c r="G10" s="14">
        <v>45007</v>
      </c>
      <c r="H10">
        <v>2023</v>
      </c>
      <c r="I10" s="10" t="s">
        <v>1878</v>
      </c>
      <c r="J10" s="10" t="s">
        <v>20</v>
      </c>
      <c r="K10" s="15">
        <v>3687.78</v>
      </c>
    </row>
    <row r="11" spans="1:11" x14ac:dyDescent="0.35">
      <c r="A11" s="10" t="s">
        <v>74</v>
      </c>
      <c r="B11" s="10" t="s">
        <v>75</v>
      </c>
      <c r="C11" s="10" t="s">
        <v>76</v>
      </c>
      <c r="D11" s="10" t="s">
        <v>1878</v>
      </c>
      <c r="E11" s="10" t="s">
        <v>1884</v>
      </c>
      <c r="F11" s="10" t="s">
        <v>1878</v>
      </c>
      <c r="G11" s="14">
        <v>43773</v>
      </c>
      <c r="H11">
        <v>2019</v>
      </c>
      <c r="I11" s="10" t="s">
        <v>1878</v>
      </c>
      <c r="J11" s="10" t="s">
        <v>26</v>
      </c>
      <c r="K11" s="15">
        <v>4616.26</v>
      </c>
    </row>
    <row r="12" spans="1:11" x14ac:dyDescent="0.35">
      <c r="A12" s="10" t="s">
        <v>79</v>
      </c>
      <c r="B12" s="10" t="s">
        <v>80</v>
      </c>
      <c r="C12" s="10" t="s">
        <v>1885</v>
      </c>
      <c r="D12" s="10" t="s">
        <v>1878</v>
      </c>
      <c r="E12" s="10" t="s">
        <v>1886</v>
      </c>
      <c r="F12" s="10" t="s">
        <v>1878</v>
      </c>
      <c r="G12" s="14">
        <v>44936</v>
      </c>
      <c r="H12">
        <v>2023</v>
      </c>
      <c r="I12" s="10" t="s">
        <v>1878</v>
      </c>
      <c r="J12" s="10" t="s">
        <v>29</v>
      </c>
      <c r="K12" s="15">
        <v>4067.24</v>
      </c>
    </row>
    <row r="13" spans="1:11" x14ac:dyDescent="0.35">
      <c r="A13" s="10" t="s">
        <v>84</v>
      </c>
      <c r="B13" s="10" t="s">
        <v>85</v>
      </c>
      <c r="C13" s="10" t="s">
        <v>86</v>
      </c>
      <c r="D13" s="10" t="s">
        <v>1878</v>
      </c>
      <c r="E13" s="10" t="s">
        <v>87</v>
      </c>
      <c r="F13" s="10" t="s">
        <v>1878</v>
      </c>
      <c r="G13" s="17" t="s">
        <v>18</v>
      </c>
      <c r="I13" s="16" t="s">
        <v>18</v>
      </c>
      <c r="J13" s="10" t="s">
        <v>20</v>
      </c>
      <c r="K13" s="15">
        <v>1352.31</v>
      </c>
    </row>
    <row r="14" spans="1:11" x14ac:dyDescent="0.35">
      <c r="A14" s="10" t="s">
        <v>88</v>
      </c>
      <c r="B14" s="10" t="s">
        <v>89</v>
      </c>
      <c r="C14" s="10" t="s">
        <v>90</v>
      </c>
      <c r="D14" s="10" t="s">
        <v>1878</v>
      </c>
      <c r="E14" s="10" t="s">
        <v>1887</v>
      </c>
      <c r="F14" s="10" t="s">
        <v>1878</v>
      </c>
      <c r="G14" s="14">
        <v>44296</v>
      </c>
      <c r="H14">
        <v>2021</v>
      </c>
      <c r="I14" s="10" t="s">
        <v>1878</v>
      </c>
      <c r="J14" s="10" t="s">
        <v>29</v>
      </c>
      <c r="K14" s="15">
        <v>850.66</v>
      </c>
    </row>
    <row r="15" spans="1:11" x14ac:dyDescent="0.35">
      <c r="A15" s="10" t="s">
        <v>93</v>
      </c>
      <c r="B15" s="10" t="s">
        <v>94</v>
      </c>
      <c r="C15" s="10" t="s">
        <v>95</v>
      </c>
      <c r="D15" s="10" t="s">
        <v>1878</v>
      </c>
      <c r="E15" s="10" t="s">
        <v>18</v>
      </c>
      <c r="F15" s="16" t="s">
        <v>18</v>
      </c>
      <c r="G15" s="17" t="s">
        <v>18</v>
      </c>
      <c r="I15" s="16" t="s">
        <v>18</v>
      </c>
      <c r="J15" s="10" t="s">
        <v>28</v>
      </c>
      <c r="K15" s="15">
        <v>4201</v>
      </c>
    </row>
    <row r="16" spans="1:11" x14ac:dyDescent="0.35">
      <c r="A16" s="10" t="s">
        <v>96</v>
      </c>
      <c r="B16" s="10" t="s">
        <v>97</v>
      </c>
      <c r="C16" s="10" t="s">
        <v>98</v>
      </c>
      <c r="D16" s="10" t="s">
        <v>1878</v>
      </c>
      <c r="E16" s="10" t="s">
        <v>1888</v>
      </c>
      <c r="F16" s="10" t="s">
        <v>1878</v>
      </c>
      <c r="G16" s="17" t="s">
        <v>18</v>
      </c>
      <c r="I16" s="16" t="s">
        <v>18</v>
      </c>
      <c r="J16" s="10" t="s">
        <v>28</v>
      </c>
      <c r="K16" s="15">
        <v>308.62</v>
      </c>
    </row>
    <row r="17" spans="1:11" x14ac:dyDescent="0.35">
      <c r="A17" s="10" t="s">
        <v>100</v>
      </c>
      <c r="B17" s="10" t="s">
        <v>101</v>
      </c>
      <c r="C17" s="10" t="s">
        <v>18</v>
      </c>
      <c r="D17" s="16" t="s">
        <v>18</v>
      </c>
      <c r="E17" s="10" t="s">
        <v>1889</v>
      </c>
      <c r="F17" s="10" t="s">
        <v>1878</v>
      </c>
      <c r="G17" s="14">
        <v>44077</v>
      </c>
      <c r="H17">
        <v>2020</v>
      </c>
      <c r="I17" s="10" t="s">
        <v>1878</v>
      </c>
      <c r="J17" s="10" t="s">
        <v>28</v>
      </c>
      <c r="K17" s="15">
        <v>4598.21</v>
      </c>
    </row>
    <row r="18" spans="1:11" x14ac:dyDescent="0.35">
      <c r="A18" s="10" t="s">
        <v>104</v>
      </c>
      <c r="B18" s="10" t="s">
        <v>105</v>
      </c>
      <c r="C18" s="10" t="s">
        <v>106</v>
      </c>
      <c r="D18" s="10" t="s">
        <v>1878</v>
      </c>
      <c r="E18" s="10" t="s">
        <v>1890</v>
      </c>
      <c r="F18" s="10" t="s">
        <v>1878</v>
      </c>
      <c r="G18" s="14">
        <v>44416</v>
      </c>
      <c r="H18">
        <v>2021</v>
      </c>
      <c r="I18" s="10" t="s">
        <v>1878</v>
      </c>
      <c r="J18" s="10" t="s">
        <v>26</v>
      </c>
      <c r="K18" s="15">
        <v>2007</v>
      </c>
    </row>
    <row r="19" spans="1:11" x14ac:dyDescent="0.35">
      <c r="A19" s="10" t="s">
        <v>109</v>
      </c>
      <c r="B19" s="10" t="s">
        <v>110</v>
      </c>
      <c r="C19" s="10" t="s">
        <v>111</v>
      </c>
      <c r="D19" s="10" t="s">
        <v>1878</v>
      </c>
      <c r="E19" s="10" t="s">
        <v>1891</v>
      </c>
      <c r="F19" s="10" t="s">
        <v>1878</v>
      </c>
      <c r="G19" s="17" t="s">
        <v>18</v>
      </c>
      <c r="I19" s="16" t="s">
        <v>18</v>
      </c>
      <c r="J19" s="10" t="s">
        <v>27</v>
      </c>
      <c r="K19" s="15">
        <v>4576.83</v>
      </c>
    </row>
    <row r="20" spans="1:11" x14ac:dyDescent="0.35">
      <c r="A20" s="10" t="s">
        <v>113</v>
      </c>
      <c r="B20" s="10" t="s">
        <v>114</v>
      </c>
      <c r="C20" s="10" t="s">
        <v>18</v>
      </c>
      <c r="D20" s="16" t="s">
        <v>18</v>
      </c>
      <c r="E20" s="10" t="s">
        <v>1892</v>
      </c>
      <c r="F20" s="10" t="s">
        <v>1878</v>
      </c>
      <c r="G20" s="14">
        <v>44691</v>
      </c>
      <c r="H20">
        <v>2022</v>
      </c>
      <c r="I20" s="10" t="s">
        <v>1878</v>
      </c>
      <c r="J20" s="10" t="s">
        <v>27</v>
      </c>
      <c r="K20" s="15">
        <v>620.95000000000005</v>
      </c>
    </row>
    <row r="21" spans="1:11" x14ac:dyDescent="0.35">
      <c r="A21" s="10" t="s">
        <v>117</v>
      </c>
      <c r="B21" s="10" t="s">
        <v>70</v>
      </c>
      <c r="C21" s="10" t="s">
        <v>118</v>
      </c>
      <c r="D21" s="10" t="s">
        <v>1878</v>
      </c>
      <c r="E21" s="10" t="s">
        <v>1893</v>
      </c>
      <c r="F21" s="10" t="s">
        <v>1878</v>
      </c>
      <c r="G21" s="17" t="s">
        <v>18</v>
      </c>
      <c r="I21" s="16" t="s">
        <v>18</v>
      </c>
      <c r="J21" s="10" t="s">
        <v>22</v>
      </c>
      <c r="K21" s="15">
        <v>2807.72</v>
      </c>
    </row>
    <row r="22" spans="1:11" x14ac:dyDescent="0.35">
      <c r="A22" s="10" t="s">
        <v>120</v>
      </c>
      <c r="B22" s="10" t="s">
        <v>121</v>
      </c>
      <c r="C22" s="10" t="s">
        <v>122</v>
      </c>
      <c r="D22" s="10" t="s">
        <v>1878</v>
      </c>
      <c r="E22" s="10" t="s">
        <v>1894</v>
      </c>
      <c r="F22" s="10" t="s">
        <v>1878</v>
      </c>
      <c r="G22" s="14">
        <v>44862</v>
      </c>
      <c r="H22">
        <v>2022</v>
      </c>
      <c r="I22" s="10" t="s">
        <v>1878</v>
      </c>
      <c r="J22" s="10" t="s">
        <v>20</v>
      </c>
      <c r="K22" s="15">
        <v>0</v>
      </c>
    </row>
    <row r="23" spans="1:11" x14ac:dyDescent="0.35">
      <c r="A23" s="10" t="s">
        <v>125</v>
      </c>
      <c r="B23" s="10" t="s">
        <v>126</v>
      </c>
      <c r="C23" s="10" t="s">
        <v>127</v>
      </c>
      <c r="D23" s="10" t="s">
        <v>1878</v>
      </c>
      <c r="E23" s="10" t="s">
        <v>1895</v>
      </c>
      <c r="F23" s="10" t="s">
        <v>1878</v>
      </c>
      <c r="G23" s="14">
        <v>43728</v>
      </c>
      <c r="H23">
        <v>2019</v>
      </c>
      <c r="I23" s="10" t="s">
        <v>1878</v>
      </c>
      <c r="J23" s="10" t="s">
        <v>29</v>
      </c>
      <c r="K23" s="15">
        <v>588.14</v>
      </c>
    </row>
    <row r="24" spans="1:11" x14ac:dyDescent="0.35">
      <c r="A24" s="10" t="s">
        <v>130</v>
      </c>
      <c r="B24" s="10" t="s">
        <v>131</v>
      </c>
      <c r="C24" s="10" t="s">
        <v>1896</v>
      </c>
      <c r="D24" s="10" t="s">
        <v>1878</v>
      </c>
      <c r="E24" s="10" t="s">
        <v>1897</v>
      </c>
      <c r="F24" s="10" t="s">
        <v>1878</v>
      </c>
      <c r="G24" s="14">
        <v>44456</v>
      </c>
      <c r="H24">
        <v>2021</v>
      </c>
      <c r="I24" s="10" t="s">
        <v>1878</v>
      </c>
      <c r="J24" s="10" t="s">
        <v>26</v>
      </c>
      <c r="K24" s="15">
        <v>649.17999999999995</v>
      </c>
    </row>
    <row r="25" spans="1:11" x14ac:dyDescent="0.35">
      <c r="A25" s="10" t="s">
        <v>135</v>
      </c>
      <c r="B25" s="10" t="s">
        <v>136</v>
      </c>
      <c r="C25" s="10" t="s">
        <v>137</v>
      </c>
      <c r="D25" s="10" t="s">
        <v>1878</v>
      </c>
      <c r="E25" s="10" t="s">
        <v>18</v>
      </c>
      <c r="F25" s="16" t="s">
        <v>18</v>
      </c>
      <c r="G25" s="14">
        <v>44125</v>
      </c>
      <c r="H25">
        <v>2020</v>
      </c>
      <c r="I25" s="10" t="s">
        <v>1878</v>
      </c>
      <c r="J25" s="10" t="s">
        <v>22</v>
      </c>
      <c r="K25" s="15">
        <v>1847.86</v>
      </c>
    </row>
    <row r="26" spans="1:11" x14ac:dyDescent="0.35">
      <c r="A26" s="10" t="s">
        <v>104</v>
      </c>
      <c r="B26" s="10" t="s">
        <v>105</v>
      </c>
      <c r="C26" s="10" t="s">
        <v>106</v>
      </c>
      <c r="D26" s="10" t="s">
        <v>1878</v>
      </c>
      <c r="E26" s="10" t="s">
        <v>1890</v>
      </c>
      <c r="F26" s="10" t="s">
        <v>1878</v>
      </c>
      <c r="G26" s="14">
        <v>44416</v>
      </c>
      <c r="H26">
        <v>2021</v>
      </c>
      <c r="I26" s="10" t="s">
        <v>1878</v>
      </c>
      <c r="J26" s="10" t="s">
        <v>26</v>
      </c>
      <c r="K26" s="15">
        <v>2007</v>
      </c>
    </row>
    <row r="27" spans="1:11" x14ac:dyDescent="0.35">
      <c r="A27" s="10" t="s">
        <v>139</v>
      </c>
      <c r="B27" s="10" t="s">
        <v>140</v>
      </c>
      <c r="C27" s="10" t="s">
        <v>141</v>
      </c>
      <c r="D27" s="10" t="s">
        <v>1878</v>
      </c>
      <c r="E27" s="10" t="s">
        <v>1898</v>
      </c>
      <c r="F27" s="10" t="s">
        <v>1878</v>
      </c>
      <c r="G27" s="14">
        <v>44632</v>
      </c>
      <c r="H27">
        <v>2022</v>
      </c>
      <c r="I27" s="10" t="s">
        <v>1878</v>
      </c>
      <c r="J27" s="10" t="s">
        <v>24</v>
      </c>
      <c r="K27" s="15">
        <v>4634.43</v>
      </c>
    </row>
    <row r="28" spans="1:11" x14ac:dyDescent="0.35">
      <c r="A28" s="10" t="s">
        <v>144</v>
      </c>
      <c r="B28" s="10" t="s">
        <v>145</v>
      </c>
      <c r="C28" s="10" t="s">
        <v>146</v>
      </c>
      <c r="D28" s="10" t="s">
        <v>1878</v>
      </c>
      <c r="E28" s="10" t="s">
        <v>1899</v>
      </c>
      <c r="F28" s="10" t="s">
        <v>1878</v>
      </c>
      <c r="G28" s="14">
        <v>44734</v>
      </c>
      <c r="H28">
        <v>2022</v>
      </c>
      <c r="I28" s="10" t="s">
        <v>1878</v>
      </c>
      <c r="J28" s="10" t="s">
        <v>26</v>
      </c>
      <c r="K28" s="15">
        <v>3977.1</v>
      </c>
    </row>
    <row r="29" spans="1:11" x14ac:dyDescent="0.35">
      <c r="A29" s="10" t="s">
        <v>149</v>
      </c>
      <c r="B29" s="10" t="s">
        <v>150</v>
      </c>
      <c r="C29" s="10" t="s">
        <v>151</v>
      </c>
      <c r="D29" s="10" t="s">
        <v>1878</v>
      </c>
      <c r="E29" s="10" t="s">
        <v>1900</v>
      </c>
      <c r="F29" s="10" t="s">
        <v>1878</v>
      </c>
      <c r="G29" s="14">
        <v>43597</v>
      </c>
      <c r="H29">
        <v>2019</v>
      </c>
      <c r="I29" s="10" t="s">
        <v>1878</v>
      </c>
      <c r="J29" s="10" t="s">
        <v>29</v>
      </c>
      <c r="K29" s="15">
        <v>2462.79</v>
      </c>
    </row>
    <row r="30" spans="1:11" x14ac:dyDescent="0.35">
      <c r="A30" s="10" t="s">
        <v>154</v>
      </c>
      <c r="B30" s="10" t="s">
        <v>155</v>
      </c>
      <c r="C30" s="10" t="s">
        <v>156</v>
      </c>
      <c r="D30" s="10" t="s">
        <v>1878</v>
      </c>
      <c r="E30" s="10" t="s">
        <v>1901</v>
      </c>
      <c r="F30" s="10" t="s">
        <v>1878</v>
      </c>
      <c r="G30" s="14">
        <v>44265</v>
      </c>
      <c r="H30">
        <v>2021</v>
      </c>
      <c r="I30" s="10" t="s">
        <v>1878</v>
      </c>
      <c r="J30" s="10" t="s">
        <v>29</v>
      </c>
      <c r="K30" s="15">
        <v>1844.95</v>
      </c>
    </row>
    <row r="31" spans="1:11" x14ac:dyDescent="0.35">
      <c r="A31" s="10" t="s">
        <v>159</v>
      </c>
      <c r="B31" s="10" t="s">
        <v>160</v>
      </c>
      <c r="C31" s="10" t="s">
        <v>161</v>
      </c>
      <c r="D31" s="10" t="s">
        <v>1878</v>
      </c>
      <c r="E31" s="10" t="s">
        <v>1902</v>
      </c>
      <c r="F31" s="10" t="s">
        <v>1878</v>
      </c>
      <c r="G31" s="17" t="s">
        <v>18</v>
      </c>
      <c r="I31" s="16" t="s">
        <v>18</v>
      </c>
      <c r="J31" s="10" t="s">
        <v>27</v>
      </c>
      <c r="K31" s="15">
        <v>4826.33</v>
      </c>
    </row>
    <row r="32" spans="1:11" x14ac:dyDescent="0.35">
      <c r="A32" s="10" t="s">
        <v>163</v>
      </c>
      <c r="B32" s="10" t="s">
        <v>164</v>
      </c>
      <c r="C32" s="10" t="s">
        <v>165</v>
      </c>
      <c r="D32" s="10" t="s">
        <v>1878</v>
      </c>
      <c r="E32" s="10" t="s">
        <v>1903</v>
      </c>
      <c r="F32" s="10" t="s">
        <v>1878</v>
      </c>
      <c r="G32" s="14">
        <v>43717</v>
      </c>
      <c r="H32">
        <v>2019</v>
      </c>
      <c r="I32" s="10" t="s">
        <v>1878</v>
      </c>
      <c r="J32" s="10" t="s">
        <v>22</v>
      </c>
      <c r="K32" s="15">
        <v>4966.66</v>
      </c>
    </row>
    <row r="33" spans="1:11" x14ac:dyDescent="0.35">
      <c r="A33" s="10" t="s">
        <v>168</v>
      </c>
      <c r="B33" s="10" t="s">
        <v>105</v>
      </c>
      <c r="C33" s="10" t="s">
        <v>169</v>
      </c>
      <c r="D33" s="10" t="s">
        <v>1878</v>
      </c>
      <c r="E33" s="10" t="s">
        <v>1904</v>
      </c>
      <c r="F33" s="10" t="s">
        <v>1878</v>
      </c>
      <c r="G33" s="14">
        <v>45345</v>
      </c>
      <c r="H33">
        <v>2024</v>
      </c>
      <c r="I33" s="10" t="s">
        <v>1878</v>
      </c>
      <c r="J33" s="10" t="s">
        <v>20</v>
      </c>
      <c r="K33" s="15">
        <v>2119.75</v>
      </c>
    </row>
    <row r="34" spans="1:11" x14ac:dyDescent="0.35">
      <c r="A34" s="10" t="s">
        <v>172</v>
      </c>
      <c r="B34" s="10" t="s">
        <v>173</v>
      </c>
      <c r="C34" s="10" t="s">
        <v>174</v>
      </c>
      <c r="D34" s="10" t="s">
        <v>1878</v>
      </c>
      <c r="E34" s="10" t="s">
        <v>18</v>
      </c>
      <c r="F34" s="16" t="s">
        <v>18</v>
      </c>
      <c r="G34" s="14">
        <v>44853</v>
      </c>
      <c r="H34">
        <v>2022</v>
      </c>
      <c r="I34" s="10" t="s">
        <v>1878</v>
      </c>
      <c r="J34" s="10" t="s">
        <v>26</v>
      </c>
      <c r="K34" s="15">
        <v>1627.89</v>
      </c>
    </row>
    <row r="35" spans="1:11" x14ac:dyDescent="0.35">
      <c r="A35" s="10" t="s">
        <v>176</v>
      </c>
      <c r="B35" s="10" t="s">
        <v>177</v>
      </c>
      <c r="C35" s="10" t="s">
        <v>178</v>
      </c>
      <c r="D35" s="10" t="s">
        <v>1878</v>
      </c>
      <c r="E35" s="10" t="s">
        <v>1905</v>
      </c>
      <c r="F35" s="10" t="s">
        <v>1878</v>
      </c>
      <c r="G35" s="14">
        <v>44505</v>
      </c>
      <c r="H35">
        <v>2021</v>
      </c>
      <c r="I35" s="10" t="s">
        <v>1878</v>
      </c>
      <c r="J35" s="10" t="s">
        <v>20</v>
      </c>
      <c r="K35" s="15">
        <v>4315</v>
      </c>
    </row>
    <row r="36" spans="1:11" x14ac:dyDescent="0.35">
      <c r="A36" s="10" t="s">
        <v>181</v>
      </c>
      <c r="B36" s="10" t="s">
        <v>182</v>
      </c>
      <c r="C36" s="10" t="s">
        <v>183</v>
      </c>
      <c r="D36" s="10" t="s">
        <v>1878</v>
      </c>
      <c r="E36" s="10" t="s">
        <v>1906</v>
      </c>
      <c r="F36" s="10" t="s">
        <v>1878</v>
      </c>
      <c r="G36" s="14">
        <v>44197</v>
      </c>
      <c r="H36">
        <v>2021</v>
      </c>
      <c r="I36" s="10" t="s">
        <v>1878</v>
      </c>
      <c r="J36" s="10" t="s">
        <v>22</v>
      </c>
      <c r="K36" s="15">
        <v>1512.26</v>
      </c>
    </row>
    <row r="37" spans="1:11" x14ac:dyDescent="0.35">
      <c r="A37" s="10" t="s">
        <v>186</v>
      </c>
      <c r="B37" s="10" t="s">
        <v>94</v>
      </c>
      <c r="C37" s="10" t="s">
        <v>187</v>
      </c>
      <c r="D37" s="10" t="s">
        <v>1878</v>
      </c>
      <c r="E37" s="10" t="s">
        <v>1907</v>
      </c>
      <c r="F37" s="10" t="s">
        <v>1878</v>
      </c>
      <c r="G37" s="14">
        <v>44980</v>
      </c>
      <c r="H37">
        <v>2023</v>
      </c>
      <c r="I37" s="10" t="s">
        <v>1878</v>
      </c>
      <c r="J37" s="10" t="s">
        <v>28</v>
      </c>
      <c r="K37" s="15">
        <v>3814.64</v>
      </c>
    </row>
    <row r="38" spans="1:11" x14ac:dyDescent="0.35">
      <c r="A38" s="10" t="s">
        <v>190</v>
      </c>
      <c r="B38" s="10" t="s">
        <v>191</v>
      </c>
      <c r="C38" s="10" t="s">
        <v>192</v>
      </c>
      <c r="D38" s="10" t="s">
        <v>1878</v>
      </c>
      <c r="E38" s="10" t="s">
        <v>193</v>
      </c>
      <c r="F38" s="10" t="s">
        <v>1878</v>
      </c>
      <c r="G38" s="17" t="s">
        <v>18</v>
      </c>
      <c r="I38" s="16" t="s">
        <v>18</v>
      </c>
      <c r="J38" s="10" t="s">
        <v>26</v>
      </c>
      <c r="K38" s="15">
        <v>2494.65</v>
      </c>
    </row>
    <row r="39" spans="1:11" x14ac:dyDescent="0.35">
      <c r="A39" s="10" t="s">
        <v>194</v>
      </c>
      <c r="B39" s="10" t="s">
        <v>195</v>
      </c>
      <c r="C39" s="10" t="s">
        <v>196</v>
      </c>
      <c r="D39" s="10" t="s">
        <v>1878</v>
      </c>
      <c r="E39" s="10" t="s">
        <v>18</v>
      </c>
      <c r="F39" s="16" t="s">
        <v>18</v>
      </c>
      <c r="G39" s="14">
        <v>45428</v>
      </c>
      <c r="H39">
        <v>2024</v>
      </c>
      <c r="I39" s="10" t="s">
        <v>1878</v>
      </c>
      <c r="J39" s="10" t="s">
        <v>27</v>
      </c>
      <c r="K39" s="15">
        <v>4523.75</v>
      </c>
    </row>
    <row r="40" spans="1:11" x14ac:dyDescent="0.35">
      <c r="A40" s="10" t="s">
        <v>198</v>
      </c>
      <c r="B40" s="10" t="s">
        <v>199</v>
      </c>
      <c r="C40" s="10" t="s">
        <v>200</v>
      </c>
      <c r="D40" s="10" t="s">
        <v>1878</v>
      </c>
      <c r="E40" s="10" t="s">
        <v>201</v>
      </c>
      <c r="F40" s="10" t="s">
        <v>1878</v>
      </c>
      <c r="G40" s="14">
        <v>45069</v>
      </c>
      <c r="H40">
        <v>2023</v>
      </c>
      <c r="I40" s="10" t="s">
        <v>1878</v>
      </c>
      <c r="J40" s="10" t="s">
        <v>29</v>
      </c>
      <c r="K40" s="15">
        <v>301</v>
      </c>
    </row>
    <row r="41" spans="1:11" x14ac:dyDescent="0.35">
      <c r="A41" s="10" t="s">
        <v>203</v>
      </c>
      <c r="B41" s="10" t="s">
        <v>204</v>
      </c>
      <c r="C41" s="10" t="s">
        <v>205</v>
      </c>
      <c r="D41" s="10" t="s">
        <v>1878</v>
      </c>
      <c r="E41" s="10" t="s">
        <v>206</v>
      </c>
      <c r="F41" s="10" t="s">
        <v>1878</v>
      </c>
      <c r="G41" s="17" t="s">
        <v>18</v>
      </c>
      <c r="I41" s="16" t="s">
        <v>18</v>
      </c>
      <c r="J41" s="10" t="s">
        <v>26</v>
      </c>
      <c r="K41" s="15">
        <v>2575.12</v>
      </c>
    </row>
    <row r="42" spans="1:11" x14ac:dyDescent="0.35">
      <c r="A42" s="10" t="s">
        <v>207</v>
      </c>
      <c r="B42" s="10" t="s">
        <v>208</v>
      </c>
      <c r="C42" s="10" t="s">
        <v>209</v>
      </c>
      <c r="D42" s="10" t="s">
        <v>1878</v>
      </c>
      <c r="E42" s="10" t="s">
        <v>210</v>
      </c>
      <c r="F42" s="10" t="s">
        <v>1878</v>
      </c>
      <c r="G42" s="17" t="s">
        <v>18</v>
      </c>
      <c r="I42" s="16" t="s">
        <v>18</v>
      </c>
      <c r="J42" s="10" t="s">
        <v>22</v>
      </c>
      <c r="K42" s="15">
        <v>2906.1</v>
      </c>
    </row>
    <row r="43" spans="1:11" x14ac:dyDescent="0.35">
      <c r="A43" s="10" t="s">
        <v>211</v>
      </c>
      <c r="B43" s="10" t="s">
        <v>212</v>
      </c>
      <c r="C43" s="10" t="s">
        <v>213</v>
      </c>
      <c r="D43" s="10" t="s">
        <v>1878</v>
      </c>
      <c r="E43" s="10" t="s">
        <v>1908</v>
      </c>
      <c r="F43" s="10" t="s">
        <v>1878</v>
      </c>
      <c r="G43" s="14">
        <v>44843</v>
      </c>
      <c r="H43">
        <v>2022</v>
      </c>
      <c r="I43" s="10" t="s">
        <v>1878</v>
      </c>
      <c r="J43" s="10" t="s">
        <v>22</v>
      </c>
      <c r="K43" s="15">
        <v>3382.95</v>
      </c>
    </row>
    <row r="44" spans="1:11" x14ac:dyDescent="0.35">
      <c r="A44" s="10" t="s">
        <v>216</v>
      </c>
      <c r="B44" s="10" t="s">
        <v>80</v>
      </c>
      <c r="C44" s="10" t="s">
        <v>217</v>
      </c>
      <c r="D44" s="10" t="s">
        <v>1878</v>
      </c>
      <c r="E44" s="10" t="s">
        <v>18</v>
      </c>
      <c r="F44" s="16" t="s">
        <v>18</v>
      </c>
      <c r="G44" s="14">
        <v>44440</v>
      </c>
      <c r="H44">
        <v>2021</v>
      </c>
      <c r="I44" s="10" t="s">
        <v>1878</v>
      </c>
      <c r="J44" s="10" t="s">
        <v>24</v>
      </c>
      <c r="K44" s="15">
        <v>1497.55</v>
      </c>
    </row>
    <row r="45" spans="1:11" x14ac:dyDescent="0.35">
      <c r="A45" s="10" t="s">
        <v>219</v>
      </c>
      <c r="B45" s="10" t="s">
        <v>220</v>
      </c>
      <c r="C45" s="10" t="s">
        <v>221</v>
      </c>
      <c r="D45" s="10" t="s">
        <v>1878</v>
      </c>
      <c r="E45" s="10" t="s">
        <v>222</v>
      </c>
      <c r="F45" s="10" t="s">
        <v>1878</v>
      </c>
      <c r="G45" s="14">
        <v>44324</v>
      </c>
      <c r="H45">
        <v>2021</v>
      </c>
      <c r="I45" s="10" t="s">
        <v>1878</v>
      </c>
      <c r="J45" s="10" t="s">
        <v>22</v>
      </c>
      <c r="K45" s="15">
        <v>2833.54</v>
      </c>
    </row>
    <row r="46" spans="1:11" x14ac:dyDescent="0.35">
      <c r="A46" s="10" t="s">
        <v>224</v>
      </c>
      <c r="B46" s="10" t="s">
        <v>225</v>
      </c>
      <c r="C46" s="10" t="s">
        <v>226</v>
      </c>
      <c r="D46" s="10" t="s">
        <v>1878</v>
      </c>
      <c r="E46" s="10" t="s">
        <v>227</v>
      </c>
      <c r="F46" s="10" t="s">
        <v>1878</v>
      </c>
      <c r="G46" s="14">
        <v>45075</v>
      </c>
      <c r="H46">
        <v>2023</v>
      </c>
      <c r="I46" s="10" t="s">
        <v>1878</v>
      </c>
      <c r="J46" s="10" t="s">
        <v>29</v>
      </c>
      <c r="K46" s="15">
        <v>4862.1899999999996</v>
      </c>
    </row>
    <row r="47" spans="1:11" x14ac:dyDescent="0.35">
      <c r="A47" s="10" t="s">
        <v>229</v>
      </c>
      <c r="B47" s="10" t="s">
        <v>230</v>
      </c>
      <c r="C47" s="10" t="s">
        <v>231</v>
      </c>
      <c r="D47" s="10" t="s">
        <v>1878</v>
      </c>
      <c r="E47" s="10" t="s">
        <v>1909</v>
      </c>
      <c r="F47" s="10" t="s">
        <v>1878</v>
      </c>
      <c r="G47" s="17" t="s">
        <v>18</v>
      </c>
      <c r="I47" s="16" t="s">
        <v>18</v>
      </c>
      <c r="J47" s="10" t="s">
        <v>27</v>
      </c>
      <c r="K47" s="15">
        <v>1633.18</v>
      </c>
    </row>
    <row r="48" spans="1:11" x14ac:dyDescent="0.35">
      <c r="A48" s="10" t="s">
        <v>233</v>
      </c>
      <c r="B48" s="10" t="s">
        <v>234</v>
      </c>
      <c r="C48" s="10" t="s">
        <v>235</v>
      </c>
      <c r="D48" s="10" t="s">
        <v>1878</v>
      </c>
      <c r="E48" s="10" t="s">
        <v>1910</v>
      </c>
      <c r="F48" s="10" t="s">
        <v>1878</v>
      </c>
      <c r="G48" s="14">
        <v>45060</v>
      </c>
      <c r="H48">
        <v>2023</v>
      </c>
      <c r="I48" s="10" t="s">
        <v>1878</v>
      </c>
      <c r="J48" s="10" t="s">
        <v>27</v>
      </c>
      <c r="K48" s="15">
        <v>4001.19</v>
      </c>
    </row>
    <row r="49" spans="1:11" x14ac:dyDescent="0.35">
      <c r="A49" s="10" t="s">
        <v>207</v>
      </c>
      <c r="B49" s="10" t="s">
        <v>208</v>
      </c>
      <c r="C49" s="10" t="s">
        <v>209</v>
      </c>
      <c r="D49" s="10" t="s">
        <v>1878</v>
      </c>
      <c r="E49" s="10" t="s">
        <v>210</v>
      </c>
      <c r="F49" s="10" t="s">
        <v>1878</v>
      </c>
      <c r="G49" s="17" t="s">
        <v>18</v>
      </c>
      <c r="I49" s="16" t="s">
        <v>18</v>
      </c>
      <c r="J49" s="10" t="s">
        <v>22</v>
      </c>
      <c r="K49" s="15">
        <v>2906.1</v>
      </c>
    </row>
    <row r="50" spans="1:11" x14ac:dyDescent="0.35">
      <c r="A50" s="10" t="s">
        <v>238</v>
      </c>
      <c r="B50" s="10" t="s">
        <v>239</v>
      </c>
      <c r="C50" s="10" t="s">
        <v>240</v>
      </c>
      <c r="D50" s="10" t="s">
        <v>1878</v>
      </c>
      <c r="E50" s="10" t="s">
        <v>1911</v>
      </c>
      <c r="F50" s="10" t="s">
        <v>1878</v>
      </c>
      <c r="G50" s="17" t="s">
        <v>18</v>
      </c>
      <c r="I50" s="16" t="s">
        <v>18</v>
      </c>
      <c r="J50" s="10" t="s">
        <v>27</v>
      </c>
      <c r="K50" s="15">
        <v>2263.44</v>
      </c>
    </row>
    <row r="51" spans="1:11" x14ac:dyDescent="0.35">
      <c r="A51" s="10" t="s">
        <v>242</v>
      </c>
      <c r="B51" s="10" t="s">
        <v>131</v>
      </c>
      <c r="C51" s="10" t="s">
        <v>243</v>
      </c>
      <c r="D51" s="10" t="s">
        <v>1878</v>
      </c>
      <c r="E51" s="10" t="s">
        <v>1912</v>
      </c>
      <c r="F51" s="10" t="s">
        <v>1878</v>
      </c>
      <c r="G51" s="17" t="s">
        <v>18</v>
      </c>
      <c r="I51" s="16" t="s">
        <v>18</v>
      </c>
      <c r="J51" s="10" t="s">
        <v>26</v>
      </c>
      <c r="K51" s="15">
        <v>142.91999999999999</v>
      </c>
    </row>
    <row r="52" spans="1:11" x14ac:dyDescent="0.35">
      <c r="A52" s="10" t="s">
        <v>245</v>
      </c>
      <c r="B52" s="10" t="s">
        <v>246</v>
      </c>
      <c r="C52" s="10" t="s">
        <v>247</v>
      </c>
      <c r="D52" s="10" t="s">
        <v>1878</v>
      </c>
      <c r="E52" s="10" t="s">
        <v>1913</v>
      </c>
      <c r="F52" s="10" t="s">
        <v>1878</v>
      </c>
      <c r="G52" s="17" t="s">
        <v>18</v>
      </c>
      <c r="I52" s="16" t="s">
        <v>18</v>
      </c>
      <c r="J52" s="10" t="s">
        <v>26</v>
      </c>
      <c r="K52" s="15">
        <v>3241.26</v>
      </c>
    </row>
    <row r="53" spans="1:11" x14ac:dyDescent="0.35">
      <c r="A53" s="10" t="s">
        <v>249</v>
      </c>
      <c r="B53" s="10" t="s">
        <v>220</v>
      </c>
      <c r="C53" s="10" t="s">
        <v>250</v>
      </c>
      <c r="D53" s="10" t="s">
        <v>1878</v>
      </c>
      <c r="E53" s="10" t="s">
        <v>18</v>
      </c>
      <c r="F53" s="16" t="s">
        <v>18</v>
      </c>
      <c r="G53" s="14">
        <v>45356</v>
      </c>
      <c r="H53">
        <v>2024</v>
      </c>
      <c r="I53" s="10" t="s">
        <v>1878</v>
      </c>
      <c r="J53" s="10" t="s">
        <v>26</v>
      </c>
      <c r="K53" s="15">
        <v>877.85</v>
      </c>
    </row>
    <row r="54" spans="1:11" x14ac:dyDescent="0.35">
      <c r="A54" s="10" t="s">
        <v>252</v>
      </c>
      <c r="B54" s="10" t="s">
        <v>253</v>
      </c>
      <c r="C54" s="10" t="s">
        <v>18</v>
      </c>
      <c r="D54" s="16" t="s">
        <v>18</v>
      </c>
      <c r="E54" s="10" t="s">
        <v>254</v>
      </c>
      <c r="F54" s="10" t="s">
        <v>1878</v>
      </c>
      <c r="G54" s="14">
        <v>44928</v>
      </c>
      <c r="H54">
        <v>2023</v>
      </c>
      <c r="I54" s="10" t="s">
        <v>1878</v>
      </c>
      <c r="J54" s="10" t="s">
        <v>22</v>
      </c>
      <c r="K54" s="15">
        <v>2991.92</v>
      </c>
    </row>
    <row r="55" spans="1:11" x14ac:dyDescent="0.35">
      <c r="A55" s="10" t="s">
        <v>256</v>
      </c>
      <c r="B55" s="10" t="s">
        <v>257</v>
      </c>
      <c r="C55" s="10" t="s">
        <v>258</v>
      </c>
      <c r="D55" s="10" t="s">
        <v>1878</v>
      </c>
      <c r="E55" s="10" t="s">
        <v>259</v>
      </c>
      <c r="F55" s="10" t="s">
        <v>1878</v>
      </c>
      <c r="G55" s="14">
        <v>43952</v>
      </c>
      <c r="H55">
        <v>2020</v>
      </c>
      <c r="I55" s="10" t="s">
        <v>1878</v>
      </c>
      <c r="J55" s="10" t="s">
        <v>27</v>
      </c>
      <c r="K55" s="15">
        <v>4593.6899999999996</v>
      </c>
    </row>
    <row r="56" spans="1:11" x14ac:dyDescent="0.35">
      <c r="A56" s="10" t="s">
        <v>261</v>
      </c>
      <c r="B56" s="10" t="s">
        <v>262</v>
      </c>
      <c r="C56" s="10" t="s">
        <v>263</v>
      </c>
      <c r="D56" s="10" t="s">
        <v>1878</v>
      </c>
      <c r="E56" s="10" t="s">
        <v>264</v>
      </c>
      <c r="F56" s="10" t="s">
        <v>1878</v>
      </c>
      <c r="G56" s="14">
        <v>43506</v>
      </c>
      <c r="H56">
        <v>2019</v>
      </c>
      <c r="I56" s="10" t="s">
        <v>1878</v>
      </c>
      <c r="J56" s="10" t="s">
        <v>26</v>
      </c>
      <c r="K56" s="15">
        <v>2237</v>
      </c>
    </row>
    <row r="57" spans="1:11" x14ac:dyDescent="0.35">
      <c r="A57" s="10" t="s">
        <v>266</v>
      </c>
      <c r="B57" s="10" t="s">
        <v>45</v>
      </c>
      <c r="C57" s="10" t="s">
        <v>267</v>
      </c>
      <c r="D57" s="10" t="s">
        <v>1878</v>
      </c>
      <c r="E57" s="10" t="s">
        <v>1914</v>
      </c>
      <c r="F57" s="10" t="s">
        <v>1878</v>
      </c>
      <c r="G57" s="14">
        <v>45056</v>
      </c>
      <c r="H57">
        <v>2023</v>
      </c>
      <c r="I57" s="10" t="s">
        <v>1878</v>
      </c>
      <c r="J57" s="10" t="s">
        <v>22</v>
      </c>
      <c r="K57" s="15">
        <v>0</v>
      </c>
    </row>
    <row r="58" spans="1:11" x14ac:dyDescent="0.35">
      <c r="A58" s="10" t="s">
        <v>270</v>
      </c>
      <c r="B58" s="10" t="s">
        <v>155</v>
      </c>
      <c r="C58" s="10" t="s">
        <v>271</v>
      </c>
      <c r="D58" s="10" t="s">
        <v>1878</v>
      </c>
      <c r="E58" s="10" t="s">
        <v>1915</v>
      </c>
      <c r="F58" s="10" t="s">
        <v>1878</v>
      </c>
      <c r="G58" s="14">
        <v>45158</v>
      </c>
      <c r="H58">
        <v>2023</v>
      </c>
      <c r="I58" s="10" t="s">
        <v>1878</v>
      </c>
      <c r="J58" s="10" t="s">
        <v>22</v>
      </c>
      <c r="K58" s="15">
        <v>4438.82</v>
      </c>
    </row>
    <row r="59" spans="1:11" x14ac:dyDescent="0.35">
      <c r="A59" s="10" t="s">
        <v>274</v>
      </c>
      <c r="B59" s="10" t="s">
        <v>275</v>
      </c>
      <c r="C59" s="10" t="s">
        <v>276</v>
      </c>
      <c r="D59" s="10" t="s">
        <v>1878</v>
      </c>
      <c r="E59" s="10" t="s">
        <v>277</v>
      </c>
      <c r="F59" s="10" t="s">
        <v>1878</v>
      </c>
      <c r="G59" s="14">
        <v>45117</v>
      </c>
      <c r="H59">
        <v>2023</v>
      </c>
      <c r="I59" s="10" t="s">
        <v>1878</v>
      </c>
      <c r="J59" s="10" t="s">
        <v>29</v>
      </c>
      <c r="K59" s="15">
        <v>0</v>
      </c>
    </row>
    <row r="60" spans="1:11" x14ac:dyDescent="0.35">
      <c r="A60" s="10" t="s">
        <v>176</v>
      </c>
      <c r="B60" s="10" t="s">
        <v>177</v>
      </c>
      <c r="C60" s="10" t="s">
        <v>178</v>
      </c>
      <c r="D60" s="10" t="s">
        <v>1878</v>
      </c>
      <c r="E60" s="10" t="s">
        <v>1905</v>
      </c>
      <c r="F60" s="10" t="s">
        <v>1878</v>
      </c>
      <c r="G60" s="14">
        <v>44505</v>
      </c>
      <c r="H60">
        <v>2021</v>
      </c>
      <c r="I60" s="10" t="s">
        <v>1878</v>
      </c>
      <c r="J60" s="10" t="s">
        <v>20</v>
      </c>
      <c r="K60" s="15">
        <v>4315</v>
      </c>
    </row>
    <row r="61" spans="1:11" x14ac:dyDescent="0.35">
      <c r="A61" s="10" t="s">
        <v>279</v>
      </c>
      <c r="B61" s="10" t="s">
        <v>173</v>
      </c>
      <c r="C61" s="10" t="s">
        <v>280</v>
      </c>
      <c r="D61" s="10" t="s">
        <v>1878</v>
      </c>
      <c r="E61" s="10" t="s">
        <v>1916</v>
      </c>
      <c r="F61" s="10" t="s">
        <v>1878</v>
      </c>
      <c r="G61" s="14">
        <v>44386</v>
      </c>
      <c r="H61">
        <v>2021</v>
      </c>
      <c r="I61" s="10" t="s">
        <v>1878</v>
      </c>
      <c r="J61" s="10" t="s">
        <v>26</v>
      </c>
      <c r="K61" s="15">
        <v>229</v>
      </c>
    </row>
    <row r="62" spans="1:11" x14ac:dyDescent="0.35">
      <c r="A62" s="10" t="s">
        <v>283</v>
      </c>
      <c r="B62" s="10" t="s">
        <v>45</v>
      </c>
      <c r="C62" s="10" t="s">
        <v>284</v>
      </c>
      <c r="D62" s="10" t="s">
        <v>1878</v>
      </c>
      <c r="E62" s="10" t="s">
        <v>285</v>
      </c>
      <c r="F62" s="10" t="s">
        <v>1878</v>
      </c>
      <c r="G62" s="14">
        <v>44539</v>
      </c>
      <c r="H62">
        <v>2021</v>
      </c>
      <c r="I62" s="10" t="s">
        <v>1878</v>
      </c>
      <c r="J62" s="10" t="s">
        <v>20</v>
      </c>
      <c r="K62" s="15">
        <v>1385.07</v>
      </c>
    </row>
    <row r="63" spans="1:11" x14ac:dyDescent="0.35">
      <c r="A63" s="10" t="s">
        <v>287</v>
      </c>
      <c r="B63" s="10" t="s">
        <v>288</v>
      </c>
      <c r="C63" s="10" t="s">
        <v>289</v>
      </c>
      <c r="D63" s="10" t="s">
        <v>1878</v>
      </c>
      <c r="E63" s="10" t="s">
        <v>1917</v>
      </c>
      <c r="F63" s="10" t="s">
        <v>1878</v>
      </c>
      <c r="G63" s="14">
        <v>44908</v>
      </c>
      <c r="H63">
        <v>2022</v>
      </c>
      <c r="I63" s="10" t="s">
        <v>1878</v>
      </c>
      <c r="J63" s="10" t="s">
        <v>29</v>
      </c>
      <c r="K63" s="15">
        <v>2490.41</v>
      </c>
    </row>
    <row r="64" spans="1:11" x14ac:dyDescent="0.35">
      <c r="A64" s="10" t="s">
        <v>292</v>
      </c>
      <c r="B64" s="10" t="s">
        <v>293</v>
      </c>
      <c r="C64" s="10" t="s">
        <v>294</v>
      </c>
      <c r="D64" s="10" t="s">
        <v>1878</v>
      </c>
      <c r="E64" s="10" t="s">
        <v>1918</v>
      </c>
      <c r="F64" s="10" t="s">
        <v>1878</v>
      </c>
      <c r="G64" s="14">
        <v>44233</v>
      </c>
      <c r="H64">
        <v>2021</v>
      </c>
      <c r="I64" s="10" t="s">
        <v>1878</v>
      </c>
      <c r="J64" s="10" t="s">
        <v>29</v>
      </c>
      <c r="K64" s="15">
        <v>0</v>
      </c>
    </row>
    <row r="65" spans="1:11" x14ac:dyDescent="0.35">
      <c r="A65" s="10" t="s">
        <v>297</v>
      </c>
      <c r="B65" s="10" t="s">
        <v>298</v>
      </c>
      <c r="C65" s="10" t="s">
        <v>299</v>
      </c>
      <c r="D65" s="10" t="s">
        <v>1878</v>
      </c>
      <c r="E65" s="10" t="s">
        <v>1919</v>
      </c>
      <c r="F65" s="10" t="s">
        <v>1878</v>
      </c>
      <c r="G65" s="14">
        <v>44488</v>
      </c>
      <c r="H65">
        <v>2021</v>
      </c>
      <c r="I65" s="10" t="s">
        <v>1878</v>
      </c>
      <c r="J65" s="10" t="s">
        <v>27</v>
      </c>
      <c r="K65" s="15">
        <v>-1985</v>
      </c>
    </row>
    <row r="66" spans="1:11" x14ac:dyDescent="0.35">
      <c r="A66" s="10" t="s">
        <v>302</v>
      </c>
      <c r="B66" s="10" t="s">
        <v>303</v>
      </c>
      <c r="C66" s="10" t="s">
        <v>304</v>
      </c>
      <c r="D66" s="10" t="s">
        <v>1878</v>
      </c>
      <c r="E66" s="10" t="s">
        <v>1920</v>
      </c>
      <c r="F66" s="10" t="s">
        <v>1878</v>
      </c>
      <c r="G66" s="14">
        <v>43581</v>
      </c>
      <c r="H66">
        <v>2019</v>
      </c>
      <c r="I66" s="10" t="s">
        <v>1878</v>
      </c>
      <c r="J66" s="10" t="s">
        <v>29</v>
      </c>
      <c r="K66" s="15">
        <v>363.87</v>
      </c>
    </row>
    <row r="67" spans="1:11" x14ac:dyDescent="0.35">
      <c r="A67" s="10" t="s">
        <v>307</v>
      </c>
      <c r="B67" s="10" t="s">
        <v>308</v>
      </c>
      <c r="C67" s="10" t="s">
        <v>309</v>
      </c>
      <c r="D67" s="10" t="s">
        <v>1878</v>
      </c>
      <c r="E67" s="10" t="s">
        <v>1921</v>
      </c>
      <c r="F67" s="10" t="s">
        <v>1878</v>
      </c>
      <c r="G67" s="14">
        <v>45208</v>
      </c>
      <c r="H67">
        <v>2023</v>
      </c>
      <c r="I67" s="10" t="s">
        <v>1878</v>
      </c>
      <c r="J67" s="10" t="s">
        <v>24</v>
      </c>
      <c r="K67" s="15">
        <v>1748</v>
      </c>
    </row>
    <row r="68" spans="1:11" x14ac:dyDescent="0.35">
      <c r="A68" s="10" t="s">
        <v>312</v>
      </c>
      <c r="B68" s="10" t="s">
        <v>313</v>
      </c>
      <c r="C68" s="10" t="s">
        <v>314</v>
      </c>
      <c r="D68" s="10" t="s">
        <v>1878</v>
      </c>
      <c r="E68" s="10" t="s">
        <v>1922</v>
      </c>
      <c r="F68" s="10" t="s">
        <v>1878</v>
      </c>
      <c r="G68" s="14">
        <v>45403</v>
      </c>
      <c r="H68">
        <v>2024</v>
      </c>
      <c r="I68" s="10" t="s">
        <v>1878</v>
      </c>
      <c r="J68" s="10" t="s">
        <v>24</v>
      </c>
      <c r="K68" s="15">
        <v>1214.4100000000001</v>
      </c>
    </row>
    <row r="69" spans="1:11" x14ac:dyDescent="0.35">
      <c r="A69" s="10" t="s">
        <v>317</v>
      </c>
      <c r="B69" s="10" t="s">
        <v>318</v>
      </c>
      <c r="C69" s="10" t="s">
        <v>319</v>
      </c>
      <c r="D69" s="10" t="s">
        <v>1878</v>
      </c>
      <c r="E69" s="10" t="s">
        <v>1923</v>
      </c>
      <c r="F69" s="10" t="s">
        <v>1878</v>
      </c>
      <c r="G69" s="14">
        <v>43560</v>
      </c>
      <c r="H69">
        <v>2019</v>
      </c>
      <c r="I69" s="10" t="s">
        <v>1878</v>
      </c>
      <c r="J69" s="10" t="s">
        <v>20</v>
      </c>
      <c r="K69" s="15">
        <v>2186.8000000000002</v>
      </c>
    </row>
    <row r="70" spans="1:11" x14ac:dyDescent="0.35">
      <c r="A70" s="10" t="s">
        <v>322</v>
      </c>
      <c r="B70" s="10" t="s">
        <v>293</v>
      </c>
      <c r="C70" s="10" t="s">
        <v>323</v>
      </c>
      <c r="D70" s="10" t="s">
        <v>1878</v>
      </c>
      <c r="E70" s="10" t="s">
        <v>1924</v>
      </c>
      <c r="F70" s="10" t="s">
        <v>1878</v>
      </c>
      <c r="G70" s="14">
        <v>45135</v>
      </c>
      <c r="H70">
        <v>2023</v>
      </c>
      <c r="I70" s="10" t="s">
        <v>1878</v>
      </c>
      <c r="J70" s="10" t="s">
        <v>27</v>
      </c>
      <c r="K70" s="15">
        <v>4508.2700000000004</v>
      </c>
    </row>
    <row r="71" spans="1:11" x14ac:dyDescent="0.35">
      <c r="A71" s="10" t="s">
        <v>326</v>
      </c>
      <c r="B71" s="10" t="s">
        <v>230</v>
      </c>
      <c r="C71" s="10" t="s">
        <v>327</v>
      </c>
      <c r="D71" s="10" t="s">
        <v>1878</v>
      </c>
      <c r="E71" s="10" t="s">
        <v>1925</v>
      </c>
      <c r="F71" s="10" t="s">
        <v>1878</v>
      </c>
      <c r="G71" s="14">
        <v>43820</v>
      </c>
      <c r="H71">
        <v>2019</v>
      </c>
      <c r="I71" s="10" t="s">
        <v>1878</v>
      </c>
      <c r="J71" s="10" t="s">
        <v>29</v>
      </c>
      <c r="K71" s="15">
        <v>4461.07</v>
      </c>
    </row>
    <row r="72" spans="1:11" x14ac:dyDescent="0.35">
      <c r="A72" s="10" t="s">
        <v>330</v>
      </c>
      <c r="B72" s="10" t="s">
        <v>331</v>
      </c>
      <c r="C72" s="10" t="s">
        <v>332</v>
      </c>
      <c r="D72" s="10" t="s">
        <v>1878</v>
      </c>
      <c r="E72" s="10" t="s">
        <v>1926</v>
      </c>
      <c r="F72" s="10" t="s">
        <v>1878</v>
      </c>
      <c r="G72" s="14">
        <v>44191</v>
      </c>
      <c r="H72">
        <v>2020</v>
      </c>
      <c r="I72" s="10" t="s">
        <v>1878</v>
      </c>
      <c r="J72" s="10" t="s">
        <v>29</v>
      </c>
      <c r="K72" s="15">
        <v>3271.06</v>
      </c>
    </row>
    <row r="73" spans="1:11" x14ac:dyDescent="0.35">
      <c r="A73" s="10" t="s">
        <v>335</v>
      </c>
      <c r="B73" s="10" t="s">
        <v>336</v>
      </c>
      <c r="C73" s="10" t="s">
        <v>337</v>
      </c>
      <c r="D73" s="10" t="s">
        <v>1878</v>
      </c>
      <c r="E73" s="10" t="s">
        <v>1927</v>
      </c>
      <c r="F73" s="10" t="s">
        <v>1878</v>
      </c>
      <c r="G73" s="14">
        <v>45319</v>
      </c>
      <c r="H73">
        <v>2024</v>
      </c>
      <c r="I73" s="10" t="s">
        <v>1878</v>
      </c>
      <c r="J73" s="10" t="s">
        <v>29</v>
      </c>
      <c r="K73" s="15">
        <v>0</v>
      </c>
    </row>
    <row r="74" spans="1:11" x14ac:dyDescent="0.35">
      <c r="A74" s="10" t="s">
        <v>340</v>
      </c>
      <c r="B74" s="10" t="s">
        <v>341</v>
      </c>
      <c r="C74" s="10" t="s">
        <v>342</v>
      </c>
      <c r="D74" s="10" t="s">
        <v>1878</v>
      </c>
      <c r="E74" s="10" t="s">
        <v>1928</v>
      </c>
      <c r="F74" s="10" t="s">
        <v>1878</v>
      </c>
      <c r="G74" s="14">
        <v>45340</v>
      </c>
      <c r="H74">
        <v>2024</v>
      </c>
      <c r="I74" s="10" t="s">
        <v>1878</v>
      </c>
      <c r="J74" s="10" t="s">
        <v>26</v>
      </c>
      <c r="K74" s="15">
        <v>2435.5</v>
      </c>
    </row>
    <row r="75" spans="1:11" x14ac:dyDescent="0.35">
      <c r="A75" s="10" t="s">
        <v>345</v>
      </c>
      <c r="B75" s="10" t="s">
        <v>346</v>
      </c>
      <c r="C75" s="10" t="s">
        <v>347</v>
      </c>
      <c r="D75" s="10" t="s">
        <v>1878</v>
      </c>
      <c r="E75" s="10" t="s">
        <v>18</v>
      </c>
      <c r="F75" s="16" t="s">
        <v>18</v>
      </c>
      <c r="G75" s="14">
        <v>44238</v>
      </c>
      <c r="H75">
        <v>2021</v>
      </c>
      <c r="I75" s="10" t="s">
        <v>1878</v>
      </c>
      <c r="J75" s="10" t="s">
        <v>28</v>
      </c>
      <c r="K75" s="15">
        <v>4326.01</v>
      </c>
    </row>
    <row r="76" spans="1:11" x14ac:dyDescent="0.35">
      <c r="A76" s="10" t="s">
        <v>349</v>
      </c>
      <c r="B76" s="10" t="s">
        <v>195</v>
      </c>
      <c r="C76" s="10" t="s">
        <v>350</v>
      </c>
      <c r="D76" s="10" t="s">
        <v>1878</v>
      </c>
      <c r="E76" s="10" t="s">
        <v>1929</v>
      </c>
      <c r="F76" s="10" t="s">
        <v>1878</v>
      </c>
      <c r="G76" s="14">
        <v>44493</v>
      </c>
      <c r="H76">
        <v>2021</v>
      </c>
      <c r="I76" s="10" t="s">
        <v>1878</v>
      </c>
      <c r="J76" s="10" t="s">
        <v>29</v>
      </c>
      <c r="K76" s="15">
        <v>909</v>
      </c>
    </row>
    <row r="77" spans="1:11" x14ac:dyDescent="0.35">
      <c r="A77" s="10" t="s">
        <v>353</v>
      </c>
      <c r="B77" s="10" t="s">
        <v>354</v>
      </c>
      <c r="C77" s="10" t="s">
        <v>355</v>
      </c>
      <c r="D77" s="10" t="s">
        <v>1878</v>
      </c>
      <c r="E77" s="10" t="s">
        <v>356</v>
      </c>
      <c r="F77" s="10" t="s">
        <v>1878</v>
      </c>
      <c r="G77" s="14">
        <v>45367</v>
      </c>
      <c r="H77">
        <v>2024</v>
      </c>
      <c r="I77" s="10" t="s">
        <v>1878</v>
      </c>
      <c r="J77" s="10" t="s">
        <v>27</v>
      </c>
      <c r="K77" s="15">
        <v>3443.17</v>
      </c>
    </row>
    <row r="78" spans="1:11" x14ac:dyDescent="0.35">
      <c r="A78" s="10" t="s">
        <v>242</v>
      </c>
      <c r="B78" s="10" t="s">
        <v>131</v>
      </c>
      <c r="C78" s="10" t="s">
        <v>243</v>
      </c>
      <c r="D78" s="10" t="s">
        <v>1878</v>
      </c>
      <c r="E78" s="10" t="s">
        <v>1912</v>
      </c>
      <c r="F78" s="10" t="s">
        <v>1878</v>
      </c>
      <c r="G78" s="17" t="s">
        <v>18</v>
      </c>
      <c r="I78" s="16" t="s">
        <v>18</v>
      </c>
      <c r="J78" s="10" t="s">
        <v>26</v>
      </c>
      <c r="K78" s="15">
        <v>142.91999999999999</v>
      </c>
    </row>
    <row r="79" spans="1:11" x14ac:dyDescent="0.35">
      <c r="A79" s="10" t="s">
        <v>358</v>
      </c>
      <c r="B79" s="10" t="s">
        <v>313</v>
      </c>
      <c r="C79" s="10" t="s">
        <v>359</v>
      </c>
      <c r="D79" s="10" t="s">
        <v>1878</v>
      </c>
      <c r="E79" s="10" t="s">
        <v>18</v>
      </c>
      <c r="F79" s="16" t="s">
        <v>18</v>
      </c>
      <c r="G79" s="17" t="s">
        <v>18</v>
      </c>
      <c r="I79" s="16" t="s">
        <v>18</v>
      </c>
      <c r="J79" s="10" t="s">
        <v>28</v>
      </c>
      <c r="K79" s="15">
        <v>782.61</v>
      </c>
    </row>
    <row r="80" spans="1:11" x14ac:dyDescent="0.35">
      <c r="A80" s="10" t="s">
        <v>360</v>
      </c>
      <c r="B80" s="10" t="s">
        <v>230</v>
      </c>
      <c r="C80" s="10" t="s">
        <v>361</v>
      </c>
      <c r="D80" s="10" t="s">
        <v>1878</v>
      </c>
      <c r="E80" s="10" t="s">
        <v>1930</v>
      </c>
      <c r="F80" s="10" t="s">
        <v>1878</v>
      </c>
      <c r="G80" s="17" t="s">
        <v>18</v>
      </c>
      <c r="I80" s="16" t="s">
        <v>18</v>
      </c>
      <c r="J80" s="10" t="s">
        <v>28</v>
      </c>
      <c r="K80" s="15">
        <v>876.96</v>
      </c>
    </row>
    <row r="81" spans="1:11" x14ac:dyDescent="0.35">
      <c r="A81" s="10" t="s">
        <v>363</v>
      </c>
      <c r="B81" s="10" t="s">
        <v>364</v>
      </c>
      <c r="C81" s="10" t="s">
        <v>365</v>
      </c>
      <c r="D81" s="10" t="s">
        <v>1878</v>
      </c>
      <c r="E81" s="10" t="s">
        <v>18</v>
      </c>
      <c r="F81" s="16" t="s">
        <v>18</v>
      </c>
      <c r="G81" s="14">
        <v>44174</v>
      </c>
      <c r="H81">
        <v>2020</v>
      </c>
      <c r="I81" s="10" t="s">
        <v>1878</v>
      </c>
      <c r="J81" s="10" t="s">
        <v>27</v>
      </c>
      <c r="K81" s="15">
        <v>1906.47</v>
      </c>
    </row>
    <row r="82" spans="1:11" x14ac:dyDescent="0.35">
      <c r="A82" s="10" t="s">
        <v>139</v>
      </c>
      <c r="B82" s="10" t="s">
        <v>140</v>
      </c>
      <c r="C82" s="10" t="s">
        <v>141</v>
      </c>
      <c r="D82" s="10" t="s">
        <v>1878</v>
      </c>
      <c r="E82" s="10" t="s">
        <v>1898</v>
      </c>
      <c r="F82" s="10" t="s">
        <v>1878</v>
      </c>
      <c r="G82" s="14">
        <v>44632</v>
      </c>
      <c r="H82">
        <v>2022</v>
      </c>
      <c r="I82" s="10" t="s">
        <v>1878</v>
      </c>
      <c r="J82" s="10" t="s">
        <v>24</v>
      </c>
      <c r="K82" s="15">
        <v>4634.43</v>
      </c>
    </row>
    <row r="83" spans="1:11" x14ac:dyDescent="0.35">
      <c r="A83" s="10" t="s">
        <v>367</v>
      </c>
      <c r="B83" s="10" t="s">
        <v>368</v>
      </c>
      <c r="C83" s="10" t="s">
        <v>369</v>
      </c>
      <c r="D83" s="10" t="s">
        <v>1878</v>
      </c>
      <c r="E83" s="10" t="s">
        <v>18</v>
      </c>
      <c r="F83" s="16" t="s">
        <v>18</v>
      </c>
      <c r="G83" s="17" t="s">
        <v>18</v>
      </c>
      <c r="I83" s="16" t="s">
        <v>18</v>
      </c>
      <c r="J83" s="10" t="s">
        <v>26</v>
      </c>
      <c r="K83" s="15">
        <v>4229.8</v>
      </c>
    </row>
    <row r="84" spans="1:11" x14ac:dyDescent="0.35">
      <c r="A84" s="10" t="s">
        <v>370</v>
      </c>
      <c r="B84" s="10" t="s">
        <v>303</v>
      </c>
      <c r="C84" s="10" t="s">
        <v>371</v>
      </c>
      <c r="D84" s="10" t="s">
        <v>1878</v>
      </c>
      <c r="E84" s="10" t="s">
        <v>18</v>
      </c>
      <c r="F84" s="16" t="s">
        <v>18</v>
      </c>
      <c r="G84" s="14">
        <v>43792</v>
      </c>
      <c r="H84">
        <v>2019</v>
      </c>
      <c r="I84" s="10" t="s">
        <v>1878</v>
      </c>
      <c r="J84" s="10" t="s">
        <v>22</v>
      </c>
      <c r="K84" s="15">
        <v>2287.62</v>
      </c>
    </row>
    <row r="85" spans="1:11" x14ac:dyDescent="0.35">
      <c r="A85" s="10" t="s">
        <v>373</v>
      </c>
      <c r="B85" s="10" t="s">
        <v>374</v>
      </c>
      <c r="C85" s="10" t="s">
        <v>18</v>
      </c>
      <c r="D85" s="16" t="s">
        <v>18</v>
      </c>
      <c r="E85" s="10" t="s">
        <v>375</v>
      </c>
      <c r="F85" s="10" t="s">
        <v>1878</v>
      </c>
      <c r="G85" s="14">
        <v>44549</v>
      </c>
      <c r="H85">
        <v>2021</v>
      </c>
      <c r="I85" s="10" t="s">
        <v>1878</v>
      </c>
      <c r="J85" s="10" t="s">
        <v>28</v>
      </c>
      <c r="K85" s="15">
        <v>4839.72</v>
      </c>
    </row>
    <row r="86" spans="1:11" x14ac:dyDescent="0.35">
      <c r="A86" s="10" t="s">
        <v>377</v>
      </c>
      <c r="B86" s="10" t="s">
        <v>97</v>
      </c>
      <c r="C86" s="10" t="s">
        <v>378</v>
      </c>
      <c r="D86" s="10" t="s">
        <v>1878</v>
      </c>
      <c r="E86" s="10" t="s">
        <v>18</v>
      </c>
      <c r="F86" s="16" t="s">
        <v>18</v>
      </c>
      <c r="G86" s="14">
        <v>43777</v>
      </c>
      <c r="H86">
        <v>2019</v>
      </c>
      <c r="I86" s="10" t="s">
        <v>1878</v>
      </c>
      <c r="J86" s="10" t="s">
        <v>20</v>
      </c>
      <c r="K86" s="15">
        <v>3141.58</v>
      </c>
    </row>
    <row r="87" spans="1:11" x14ac:dyDescent="0.35">
      <c r="A87" s="10" t="s">
        <v>380</v>
      </c>
      <c r="B87" s="10" t="s">
        <v>381</v>
      </c>
      <c r="C87" s="10" t="s">
        <v>382</v>
      </c>
      <c r="D87" s="10" t="s">
        <v>1878</v>
      </c>
      <c r="E87" s="10" t="s">
        <v>1931</v>
      </c>
      <c r="F87" s="10" t="s">
        <v>1878</v>
      </c>
      <c r="G87" s="17" t="s">
        <v>18</v>
      </c>
      <c r="I87" s="16" t="s">
        <v>18</v>
      </c>
      <c r="J87" s="10" t="s">
        <v>28</v>
      </c>
      <c r="K87" s="15">
        <v>2183.02</v>
      </c>
    </row>
    <row r="88" spans="1:11" x14ac:dyDescent="0.35">
      <c r="A88" s="10" t="s">
        <v>384</v>
      </c>
      <c r="B88" s="10" t="s">
        <v>385</v>
      </c>
      <c r="C88" s="10" t="s">
        <v>18</v>
      </c>
      <c r="D88" s="16" t="s">
        <v>18</v>
      </c>
      <c r="E88" s="10" t="s">
        <v>386</v>
      </c>
      <c r="F88" s="10" t="s">
        <v>1878</v>
      </c>
      <c r="G88" s="14">
        <v>44046</v>
      </c>
      <c r="H88">
        <v>2020</v>
      </c>
      <c r="I88" s="10" t="s">
        <v>1878</v>
      </c>
      <c r="J88" s="10" t="s">
        <v>26</v>
      </c>
      <c r="K88" s="15">
        <v>3965</v>
      </c>
    </row>
    <row r="89" spans="1:11" x14ac:dyDescent="0.35">
      <c r="A89" s="10" t="s">
        <v>388</v>
      </c>
      <c r="B89" s="10" t="s">
        <v>389</v>
      </c>
      <c r="C89" s="10" t="s">
        <v>18</v>
      </c>
      <c r="D89" s="16" t="s">
        <v>18</v>
      </c>
      <c r="E89" s="10" t="s">
        <v>1932</v>
      </c>
      <c r="F89" s="10" t="s">
        <v>1878</v>
      </c>
      <c r="G89" s="14">
        <v>43748</v>
      </c>
      <c r="H89">
        <v>2019</v>
      </c>
      <c r="I89" s="10" t="s">
        <v>1878</v>
      </c>
      <c r="J89" s="10" t="s">
        <v>27</v>
      </c>
      <c r="K89" s="15">
        <v>2437</v>
      </c>
    </row>
    <row r="90" spans="1:11" x14ac:dyDescent="0.35">
      <c r="A90" s="10" t="s">
        <v>392</v>
      </c>
      <c r="B90" s="10" t="s">
        <v>393</v>
      </c>
      <c r="C90" s="10" t="s">
        <v>394</v>
      </c>
      <c r="D90" s="10" t="s">
        <v>1878</v>
      </c>
      <c r="E90" s="10" t="s">
        <v>1933</v>
      </c>
      <c r="F90" s="10" t="s">
        <v>1878</v>
      </c>
      <c r="G90" s="14">
        <v>44175</v>
      </c>
      <c r="H90">
        <v>2020</v>
      </c>
      <c r="I90" s="10" t="s">
        <v>1878</v>
      </c>
      <c r="J90" s="10" t="s">
        <v>27</v>
      </c>
      <c r="K90" s="15">
        <v>3559.65</v>
      </c>
    </row>
    <row r="91" spans="1:11" x14ac:dyDescent="0.35">
      <c r="A91" s="10" t="s">
        <v>397</v>
      </c>
      <c r="B91" s="10" t="s">
        <v>58</v>
      </c>
      <c r="C91" s="10" t="s">
        <v>398</v>
      </c>
      <c r="D91" s="10" t="s">
        <v>1878</v>
      </c>
      <c r="E91" s="10" t="s">
        <v>18</v>
      </c>
      <c r="F91" s="16" t="s">
        <v>18</v>
      </c>
      <c r="G91" s="14">
        <v>44315</v>
      </c>
      <c r="H91">
        <v>2021</v>
      </c>
      <c r="I91" s="10" t="s">
        <v>1878</v>
      </c>
      <c r="J91" s="10" t="s">
        <v>28</v>
      </c>
      <c r="K91" s="15">
        <v>2703</v>
      </c>
    </row>
    <row r="92" spans="1:11" x14ac:dyDescent="0.35">
      <c r="A92" s="10" t="s">
        <v>400</v>
      </c>
      <c r="B92" s="10" t="s">
        <v>401</v>
      </c>
      <c r="C92" s="10" t="s">
        <v>402</v>
      </c>
      <c r="D92" s="10" t="s">
        <v>1878</v>
      </c>
      <c r="E92" s="10" t="s">
        <v>1934</v>
      </c>
      <c r="F92" s="10" t="s">
        <v>1878</v>
      </c>
      <c r="G92" s="14">
        <v>44303</v>
      </c>
      <c r="H92">
        <v>2021</v>
      </c>
      <c r="I92" s="10" t="s">
        <v>1878</v>
      </c>
      <c r="J92" s="10" t="s">
        <v>26</v>
      </c>
      <c r="K92" s="15">
        <v>793.22</v>
      </c>
    </row>
    <row r="93" spans="1:11" x14ac:dyDescent="0.35">
      <c r="A93" s="10" t="s">
        <v>405</v>
      </c>
      <c r="B93" s="10" t="s">
        <v>199</v>
      </c>
      <c r="C93" s="10" t="s">
        <v>18</v>
      </c>
      <c r="D93" s="16" t="s">
        <v>18</v>
      </c>
      <c r="E93" s="10" t="s">
        <v>1935</v>
      </c>
      <c r="F93" s="10" t="s">
        <v>1878</v>
      </c>
      <c r="G93" s="14">
        <v>45385</v>
      </c>
      <c r="H93">
        <v>2024</v>
      </c>
      <c r="I93" s="10" t="s">
        <v>1878</v>
      </c>
      <c r="J93" s="10" t="s">
        <v>28</v>
      </c>
      <c r="K93" s="15">
        <v>3922.07</v>
      </c>
    </row>
    <row r="94" spans="1:11" x14ac:dyDescent="0.35">
      <c r="A94" s="10" t="s">
        <v>408</v>
      </c>
      <c r="B94" s="10" t="s">
        <v>401</v>
      </c>
      <c r="C94" s="10" t="s">
        <v>409</v>
      </c>
      <c r="D94" s="10" t="s">
        <v>1878</v>
      </c>
      <c r="E94" s="10" t="s">
        <v>410</v>
      </c>
      <c r="F94" s="10" t="s">
        <v>1878</v>
      </c>
      <c r="G94" s="14">
        <v>45343</v>
      </c>
      <c r="H94">
        <v>2024</v>
      </c>
      <c r="I94" s="10" t="s">
        <v>1878</v>
      </c>
      <c r="J94" s="10" t="s">
        <v>24</v>
      </c>
      <c r="K94" s="15">
        <v>976.73</v>
      </c>
    </row>
    <row r="95" spans="1:11" x14ac:dyDescent="0.35">
      <c r="A95" s="10" t="s">
        <v>412</v>
      </c>
      <c r="B95" s="10" t="s">
        <v>413</v>
      </c>
      <c r="C95" s="10" t="s">
        <v>414</v>
      </c>
      <c r="D95" s="10" t="s">
        <v>1878</v>
      </c>
      <c r="E95" s="10" t="s">
        <v>1936</v>
      </c>
      <c r="F95" s="10" t="s">
        <v>1878</v>
      </c>
      <c r="G95" s="14">
        <v>44825</v>
      </c>
      <c r="H95">
        <v>2022</v>
      </c>
      <c r="I95" s="10" t="s">
        <v>1878</v>
      </c>
      <c r="J95" s="10" t="s">
        <v>29</v>
      </c>
      <c r="K95" s="15">
        <v>3133.34</v>
      </c>
    </row>
    <row r="96" spans="1:11" x14ac:dyDescent="0.35">
      <c r="A96" s="10" t="s">
        <v>417</v>
      </c>
      <c r="B96" s="10" t="s">
        <v>418</v>
      </c>
      <c r="C96" s="10" t="s">
        <v>419</v>
      </c>
      <c r="D96" s="10" t="s">
        <v>1878</v>
      </c>
      <c r="E96" s="10" t="s">
        <v>1937</v>
      </c>
      <c r="F96" s="10" t="s">
        <v>1878</v>
      </c>
      <c r="G96" s="14">
        <v>44347</v>
      </c>
      <c r="H96">
        <v>2021</v>
      </c>
      <c r="I96" s="10" t="s">
        <v>1878</v>
      </c>
      <c r="J96" s="10" t="s">
        <v>27</v>
      </c>
      <c r="K96" s="15">
        <v>2917.97</v>
      </c>
    </row>
    <row r="97" spans="1:11" x14ac:dyDescent="0.35">
      <c r="A97" s="10" t="s">
        <v>422</v>
      </c>
      <c r="B97" s="10" t="s">
        <v>374</v>
      </c>
      <c r="C97" s="10" t="s">
        <v>423</v>
      </c>
      <c r="D97" s="10" t="s">
        <v>1878</v>
      </c>
      <c r="E97" s="10" t="s">
        <v>1938</v>
      </c>
      <c r="F97" s="10" t="s">
        <v>1878</v>
      </c>
      <c r="G97" s="14">
        <v>44405</v>
      </c>
      <c r="H97">
        <v>2021</v>
      </c>
      <c r="I97" s="10" t="s">
        <v>1878</v>
      </c>
      <c r="J97" s="10" t="s">
        <v>24</v>
      </c>
      <c r="K97" s="15">
        <v>4597.8900000000003</v>
      </c>
    </row>
    <row r="98" spans="1:11" x14ac:dyDescent="0.35">
      <c r="A98" s="10" t="s">
        <v>426</v>
      </c>
      <c r="B98" s="10" t="s">
        <v>427</v>
      </c>
      <c r="C98" s="10" t="s">
        <v>428</v>
      </c>
      <c r="D98" s="10" t="s">
        <v>1878</v>
      </c>
      <c r="E98" s="10" t="s">
        <v>1939</v>
      </c>
      <c r="F98" s="10" t="s">
        <v>1878</v>
      </c>
      <c r="G98" s="14">
        <v>44664</v>
      </c>
      <c r="H98">
        <v>2022</v>
      </c>
      <c r="I98" s="10" t="s">
        <v>1878</v>
      </c>
      <c r="J98" s="10" t="s">
        <v>22</v>
      </c>
      <c r="K98" s="15">
        <v>2526.65</v>
      </c>
    </row>
    <row r="99" spans="1:11" x14ac:dyDescent="0.35">
      <c r="A99" s="10" t="s">
        <v>431</v>
      </c>
      <c r="B99" s="10" t="s">
        <v>432</v>
      </c>
      <c r="C99" s="10" t="s">
        <v>433</v>
      </c>
      <c r="D99" s="10" t="s">
        <v>1878</v>
      </c>
      <c r="E99" s="10" t="s">
        <v>18</v>
      </c>
      <c r="F99" s="16" t="s">
        <v>18</v>
      </c>
      <c r="G99" s="14">
        <v>44675</v>
      </c>
      <c r="H99">
        <v>2022</v>
      </c>
      <c r="I99" s="10" t="s">
        <v>1878</v>
      </c>
      <c r="J99" s="10" t="s">
        <v>20</v>
      </c>
      <c r="K99" s="15">
        <v>831.94</v>
      </c>
    </row>
    <row r="100" spans="1:11" x14ac:dyDescent="0.35">
      <c r="A100" s="10" t="s">
        <v>435</v>
      </c>
      <c r="B100" s="10" t="s">
        <v>436</v>
      </c>
      <c r="C100" s="10" t="s">
        <v>437</v>
      </c>
      <c r="D100" s="10" t="s">
        <v>1878</v>
      </c>
      <c r="E100" s="10" t="s">
        <v>1940</v>
      </c>
      <c r="F100" s="10" t="s">
        <v>1878</v>
      </c>
      <c r="G100" s="14">
        <v>45139</v>
      </c>
      <c r="H100">
        <v>2023</v>
      </c>
      <c r="I100" s="10" t="s">
        <v>1878</v>
      </c>
      <c r="J100" s="10" t="s">
        <v>26</v>
      </c>
      <c r="K100" s="15">
        <v>3187.81</v>
      </c>
    </row>
    <row r="101" spans="1:11" x14ac:dyDescent="0.35">
      <c r="A101" s="10" t="s">
        <v>440</v>
      </c>
      <c r="B101" s="10" t="s">
        <v>441</v>
      </c>
      <c r="C101" s="10" t="s">
        <v>442</v>
      </c>
      <c r="D101" s="10" t="s">
        <v>1878</v>
      </c>
      <c r="E101" s="10" t="s">
        <v>18</v>
      </c>
      <c r="F101" s="16" t="s">
        <v>18</v>
      </c>
      <c r="G101" s="14">
        <v>43994</v>
      </c>
      <c r="H101">
        <v>2020</v>
      </c>
      <c r="I101" s="10" t="s">
        <v>1878</v>
      </c>
      <c r="J101" s="10" t="s">
        <v>22</v>
      </c>
      <c r="K101" s="15">
        <v>1300</v>
      </c>
    </row>
    <row r="102" spans="1:11" x14ac:dyDescent="0.35">
      <c r="A102" s="10" t="s">
        <v>444</v>
      </c>
      <c r="B102" s="10" t="s">
        <v>445</v>
      </c>
      <c r="C102" s="10" t="s">
        <v>446</v>
      </c>
      <c r="D102" s="10" t="s">
        <v>1878</v>
      </c>
      <c r="E102" s="10" t="s">
        <v>1941</v>
      </c>
      <c r="F102" s="10" t="s">
        <v>1878</v>
      </c>
      <c r="G102" s="14">
        <v>44969</v>
      </c>
      <c r="H102">
        <v>2023</v>
      </c>
      <c r="I102" s="10" t="s">
        <v>1878</v>
      </c>
      <c r="J102" s="10" t="s">
        <v>29</v>
      </c>
      <c r="K102" s="15">
        <v>0</v>
      </c>
    </row>
    <row r="103" spans="1:11" x14ac:dyDescent="0.35">
      <c r="A103" s="10" t="s">
        <v>449</v>
      </c>
      <c r="B103" s="10" t="s">
        <v>450</v>
      </c>
      <c r="C103" s="10" t="s">
        <v>451</v>
      </c>
      <c r="D103" s="10" t="s">
        <v>1878</v>
      </c>
      <c r="E103" s="10" t="s">
        <v>18</v>
      </c>
      <c r="F103" s="16" t="s">
        <v>18</v>
      </c>
      <c r="G103" s="17" t="s">
        <v>18</v>
      </c>
      <c r="I103" s="16" t="s">
        <v>18</v>
      </c>
      <c r="J103" s="10" t="s">
        <v>22</v>
      </c>
      <c r="K103" s="15">
        <v>783.27</v>
      </c>
    </row>
    <row r="104" spans="1:11" x14ac:dyDescent="0.35">
      <c r="A104" s="10" t="s">
        <v>211</v>
      </c>
      <c r="B104" s="10" t="s">
        <v>212</v>
      </c>
      <c r="C104" s="10" t="s">
        <v>213</v>
      </c>
      <c r="D104" s="10" t="s">
        <v>1878</v>
      </c>
      <c r="E104" s="10" t="s">
        <v>1908</v>
      </c>
      <c r="F104" s="10" t="s">
        <v>1878</v>
      </c>
      <c r="G104" s="14">
        <v>44843</v>
      </c>
      <c r="H104">
        <v>2022</v>
      </c>
      <c r="I104" s="10" t="s">
        <v>1878</v>
      </c>
      <c r="J104" s="10" t="s">
        <v>22</v>
      </c>
      <c r="K104" s="15">
        <v>3382.95</v>
      </c>
    </row>
    <row r="105" spans="1:11" x14ac:dyDescent="0.35">
      <c r="A105" s="10" t="s">
        <v>452</v>
      </c>
      <c r="B105" s="10" t="s">
        <v>453</v>
      </c>
      <c r="C105" s="10" t="s">
        <v>454</v>
      </c>
      <c r="D105" s="10" t="s">
        <v>1878</v>
      </c>
      <c r="E105" s="10" t="s">
        <v>455</v>
      </c>
      <c r="F105" s="10" t="s">
        <v>1878</v>
      </c>
      <c r="G105" s="14">
        <v>45339</v>
      </c>
      <c r="H105">
        <v>2024</v>
      </c>
      <c r="I105" s="10" t="s">
        <v>1878</v>
      </c>
      <c r="J105" s="10" t="s">
        <v>29</v>
      </c>
      <c r="K105" s="15">
        <v>4335.6400000000003</v>
      </c>
    </row>
    <row r="106" spans="1:11" x14ac:dyDescent="0.35">
      <c r="A106" s="10" t="s">
        <v>457</v>
      </c>
      <c r="B106" s="10" t="s">
        <v>458</v>
      </c>
      <c r="C106" s="10" t="s">
        <v>459</v>
      </c>
      <c r="D106" s="10" t="s">
        <v>1878</v>
      </c>
      <c r="E106" s="10" t="s">
        <v>18</v>
      </c>
      <c r="F106" s="16" t="s">
        <v>18</v>
      </c>
      <c r="G106" s="17" t="s">
        <v>18</v>
      </c>
      <c r="I106" s="16" t="s">
        <v>18</v>
      </c>
      <c r="J106" s="10" t="s">
        <v>29</v>
      </c>
      <c r="K106" s="15">
        <v>4219.03</v>
      </c>
    </row>
    <row r="107" spans="1:11" x14ac:dyDescent="0.35">
      <c r="A107" s="10" t="s">
        <v>460</v>
      </c>
      <c r="B107" s="10" t="s">
        <v>461</v>
      </c>
      <c r="C107" s="10" t="s">
        <v>462</v>
      </c>
      <c r="D107" s="10" t="s">
        <v>1878</v>
      </c>
      <c r="E107" s="10" t="s">
        <v>18</v>
      </c>
      <c r="F107" s="16" t="s">
        <v>18</v>
      </c>
      <c r="G107" s="14">
        <v>45539</v>
      </c>
      <c r="H107">
        <v>2024</v>
      </c>
      <c r="I107" s="10" t="s">
        <v>1878</v>
      </c>
      <c r="J107" s="10" t="s">
        <v>29</v>
      </c>
      <c r="K107" s="15">
        <v>2481.89</v>
      </c>
    </row>
    <row r="108" spans="1:11" x14ac:dyDescent="0.35">
      <c r="A108" s="10" t="s">
        <v>464</v>
      </c>
      <c r="B108" s="10" t="s">
        <v>465</v>
      </c>
      <c r="C108" s="10" t="s">
        <v>466</v>
      </c>
      <c r="D108" s="10" t="s">
        <v>1878</v>
      </c>
      <c r="E108" s="10" t="s">
        <v>1942</v>
      </c>
      <c r="F108" s="10" t="s">
        <v>1878</v>
      </c>
      <c r="G108" s="14">
        <v>45060</v>
      </c>
      <c r="H108">
        <v>2023</v>
      </c>
      <c r="I108" s="10" t="s">
        <v>1878</v>
      </c>
      <c r="J108" s="10" t="s">
        <v>26</v>
      </c>
      <c r="K108" s="15">
        <v>2969.49</v>
      </c>
    </row>
    <row r="109" spans="1:11" x14ac:dyDescent="0.35">
      <c r="A109" s="10" t="s">
        <v>468</v>
      </c>
      <c r="B109" s="10" t="s">
        <v>469</v>
      </c>
      <c r="C109" s="10" t="s">
        <v>470</v>
      </c>
      <c r="D109" s="10" t="s">
        <v>1878</v>
      </c>
      <c r="E109" s="10" t="s">
        <v>1943</v>
      </c>
      <c r="F109" s="10" t="s">
        <v>1878</v>
      </c>
      <c r="G109" s="14">
        <v>44390</v>
      </c>
      <c r="H109">
        <v>2021</v>
      </c>
      <c r="I109" s="10" t="s">
        <v>1878</v>
      </c>
      <c r="J109" s="10" t="s">
        <v>29</v>
      </c>
      <c r="K109" s="15">
        <v>4025</v>
      </c>
    </row>
    <row r="110" spans="1:11" x14ac:dyDescent="0.35">
      <c r="A110" s="10" t="s">
        <v>473</v>
      </c>
      <c r="B110" s="10" t="s">
        <v>131</v>
      </c>
      <c r="C110" s="10" t="s">
        <v>1944</v>
      </c>
      <c r="D110" s="10" t="s">
        <v>1878</v>
      </c>
      <c r="E110" s="10" t="s">
        <v>18</v>
      </c>
      <c r="F110" s="16" t="s">
        <v>18</v>
      </c>
      <c r="G110" s="14">
        <v>44352</v>
      </c>
      <c r="H110">
        <v>2021</v>
      </c>
      <c r="I110" s="10" t="s">
        <v>1878</v>
      </c>
      <c r="J110" s="10" t="s">
        <v>28</v>
      </c>
      <c r="K110" s="15">
        <v>293.77</v>
      </c>
    </row>
    <row r="111" spans="1:11" x14ac:dyDescent="0.35">
      <c r="A111" s="10" t="s">
        <v>476</v>
      </c>
      <c r="B111" s="10" t="s">
        <v>195</v>
      </c>
      <c r="C111" s="10" t="s">
        <v>1945</v>
      </c>
      <c r="D111" s="10" t="s">
        <v>1878</v>
      </c>
      <c r="E111" s="10" t="s">
        <v>1946</v>
      </c>
      <c r="F111" s="10" t="s">
        <v>1878</v>
      </c>
      <c r="G111" s="14">
        <v>43914</v>
      </c>
      <c r="H111">
        <v>2020</v>
      </c>
      <c r="I111" s="10" t="s">
        <v>1878</v>
      </c>
      <c r="J111" s="10" t="s">
        <v>22</v>
      </c>
      <c r="K111" s="15">
        <v>1004.08</v>
      </c>
    </row>
    <row r="112" spans="1:11" x14ac:dyDescent="0.35">
      <c r="A112" s="10" t="s">
        <v>480</v>
      </c>
      <c r="B112" s="10" t="s">
        <v>80</v>
      </c>
      <c r="C112" s="10" t="s">
        <v>1947</v>
      </c>
      <c r="D112" s="10" t="s">
        <v>1878</v>
      </c>
      <c r="E112" s="10" t="s">
        <v>18</v>
      </c>
      <c r="F112" s="16" t="s">
        <v>18</v>
      </c>
      <c r="G112" s="14">
        <v>43907</v>
      </c>
      <c r="H112">
        <v>2020</v>
      </c>
      <c r="I112" s="10" t="s">
        <v>1878</v>
      </c>
      <c r="J112" s="10" t="s">
        <v>27</v>
      </c>
      <c r="K112" s="15">
        <v>3357.41</v>
      </c>
    </row>
    <row r="113" spans="1:11" x14ac:dyDescent="0.35">
      <c r="A113" s="10" t="s">
        <v>483</v>
      </c>
      <c r="B113" s="10" t="s">
        <v>336</v>
      </c>
      <c r="C113" s="10" t="s">
        <v>18</v>
      </c>
      <c r="D113" s="16" t="s">
        <v>18</v>
      </c>
      <c r="E113" s="10" t="s">
        <v>1948</v>
      </c>
      <c r="F113" s="10" t="s">
        <v>1878</v>
      </c>
      <c r="G113" s="14">
        <v>44652</v>
      </c>
      <c r="H113">
        <v>2022</v>
      </c>
      <c r="I113" s="10" t="s">
        <v>1878</v>
      </c>
      <c r="J113" s="10" t="s">
        <v>29</v>
      </c>
      <c r="K113" s="15">
        <v>819</v>
      </c>
    </row>
    <row r="114" spans="1:11" x14ac:dyDescent="0.35">
      <c r="A114" s="10" t="s">
        <v>486</v>
      </c>
      <c r="B114" s="10" t="s">
        <v>230</v>
      </c>
      <c r="C114" s="10" t="s">
        <v>487</v>
      </c>
      <c r="D114" s="10" t="s">
        <v>1878</v>
      </c>
      <c r="E114" s="10" t="s">
        <v>18</v>
      </c>
      <c r="F114" s="16" t="s">
        <v>18</v>
      </c>
      <c r="G114" s="14">
        <v>44030</v>
      </c>
      <c r="H114">
        <v>2020</v>
      </c>
      <c r="I114" s="10" t="s">
        <v>1878</v>
      </c>
      <c r="J114" s="10" t="s">
        <v>27</v>
      </c>
      <c r="K114" s="15">
        <v>3724.8</v>
      </c>
    </row>
    <row r="115" spans="1:11" x14ac:dyDescent="0.35">
      <c r="A115" s="10" t="s">
        <v>489</v>
      </c>
      <c r="B115" s="10" t="s">
        <v>490</v>
      </c>
      <c r="C115" s="10" t="s">
        <v>491</v>
      </c>
      <c r="D115" s="10" t="s">
        <v>1878</v>
      </c>
      <c r="E115" s="10" t="s">
        <v>492</v>
      </c>
      <c r="F115" s="10" t="s">
        <v>1878</v>
      </c>
      <c r="G115" s="14">
        <v>44568</v>
      </c>
      <c r="H115">
        <v>2022</v>
      </c>
      <c r="I115" s="10" t="s">
        <v>1878</v>
      </c>
      <c r="J115" s="10" t="s">
        <v>29</v>
      </c>
      <c r="K115" s="15">
        <v>2877</v>
      </c>
    </row>
    <row r="116" spans="1:11" x14ac:dyDescent="0.35">
      <c r="A116" s="10" t="s">
        <v>494</v>
      </c>
      <c r="B116" s="10" t="s">
        <v>308</v>
      </c>
      <c r="C116" s="10" t="s">
        <v>495</v>
      </c>
      <c r="D116" s="10" t="s">
        <v>1878</v>
      </c>
      <c r="E116" s="10" t="s">
        <v>496</v>
      </c>
      <c r="F116" s="10" t="s">
        <v>1878</v>
      </c>
      <c r="G116" s="14">
        <v>45283</v>
      </c>
      <c r="H116">
        <v>2023</v>
      </c>
      <c r="I116" s="10" t="s">
        <v>1878</v>
      </c>
      <c r="J116" s="10" t="s">
        <v>28</v>
      </c>
      <c r="K116" s="15">
        <v>3081.18</v>
      </c>
    </row>
    <row r="117" spans="1:11" x14ac:dyDescent="0.35">
      <c r="A117" s="10" t="s">
        <v>498</v>
      </c>
      <c r="B117" s="10" t="s">
        <v>499</v>
      </c>
      <c r="C117" s="10" t="s">
        <v>18</v>
      </c>
      <c r="D117" s="16" t="s">
        <v>18</v>
      </c>
      <c r="E117" s="10" t="s">
        <v>1949</v>
      </c>
      <c r="F117" s="10" t="s">
        <v>1878</v>
      </c>
      <c r="G117" s="17" t="s">
        <v>18</v>
      </c>
      <c r="I117" s="16" t="s">
        <v>18</v>
      </c>
      <c r="J117" s="10" t="s">
        <v>24</v>
      </c>
      <c r="K117" s="15">
        <v>1849.03</v>
      </c>
    </row>
    <row r="118" spans="1:11" x14ac:dyDescent="0.35">
      <c r="A118" s="10" t="s">
        <v>501</v>
      </c>
      <c r="B118" s="10" t="s">
        <v>490</v>
      </c>
      <c r="C118" s="10" t="s">
        <v>502</v>
      </c>
      <c r="D118" s="10" t="s">
        <v>1878</v>
      </c>
      <c r="E118" s="10" t="s">
        <v>503</v>
      </c>
      <c r="F118" s="10" t="s">
        <v>1878</v>
      </c>
      <c r="G118" s="17" t="s">
        <v>18</v>
      </c>
      <c r="I118" s="16" t="s">
        <v>18</v>
      </c>
      <c r="J118" s="10" t="s">
        <v>26</v>
      </c>
      <c r="K118" s="15">
        <v>1197.79</v>
      </c>
    </row>
    <row r="119" spans="1:11" x14ac:dyDescent="0.35">
      <c r="A119" s="10" t="s">
        <v>504</v>
      </c>
      <c r="B119" s="10" t="s">
        <v>298</v>
      </c>
      <c r="C119" s="10" t="s">
        <v>505</v>
      </c>
      <c r="D119" s="10" t="s">
        <v>1878</v>
      </c>
      <c r="E119" s="10" t="s">
        <v>1950</v>
      </c>
      <c r="F119" s="10" t="s">
        <v>1878</v>
      </c>
      <c r="G119" s="14">
        <v>43629</v>
      </c>
      <c r="H119">
        <v>2019</v>
      </c>
      <c r="I119" s="10" t="s">
        <v>1878</v>
      </c>
      <c r="J119" s="10" t="s">
        <v>20</v>
      </c>
      <c r="K119" s="15">
        <v>4524.03</v>
      </c>
    </row>
    <row r="120" spans="1:11" x14ac:dyDescent="0.35">
      <c r="A120" s="10" t="s">
        <v>508</v>
      </c>
      <c r="B120" s="10" t="s">
        <v>85</v>
      </c>
      <c r="C120" s="10" t="s">
        <v>18</v>
      </c>
      <c r="D120" s="16" t="s">
        <v>18</v>
      </c>
      <c r="E120" s="10" t="s">
        <v>1951</v>
      </c>
      <c r="F120" s="10" t="s">
        <v>1878</v>
      </c>
      <c r="G120" s="14">
        <v>45273</v>
      </c>
      <c r="H120">
        <v>2023</v>
      </c>
      <c r="I120" s="10" t="s">
        <v>1878</v>
      </c>
      <c r="J120" s="10" t="s">
        <v>24</v>
      </c>
      <c r="K120" s="15">
        <v>935.95</v>
      </c>
    </row>
    <row r="121" spans="1:11" x14ac:dyDescent="0.35">
      <c r="A121" s="10" t="s">
        <v>511</v>
      </c>
      <c r="B121" s="10" t="s">
        <v>164</v>
      </c>
      <c r="C121" s="10" t="s">
        <v>512</v>
      </c>
      <c r="D121" s="10" t="s">
        <v>1878</v>
      </c>
      <c r="E121" s="10" t="s">
        <v>1952</v>
      </c>
      <c r="F121" s="10" t="s">
        <v>1878</v>
      </c>
      <c r="G121" s="14">
        <v>43532</v>
      </c>
      <c r="H121">
        <v>2019</v>
      </c>
      <c r="I121" s="10" t="s">
        <v>1878</v>
      </c>
      <c r="J121" s="10" t="s">
        <v>27</v>
      </c>
      <c r="K121" s="15">
        <v>-928</v>
      </c>
    </row>
    <row r="122" spans="1:11" x14ac:dyDescent="0.35">
      <c r="A122" s="10" t="s">
        <v>515</v>
      </c>
      <c r="B122" s="10" t="s">
        <v>516</v>
      </c>
      <c r="C122" s="10" t="s">
        <v>517</v>
      </c>
      <c r="D122" s="10" t="s">
        <v>1878</v>
      </c>
      <c r="E122" s="10" t="s">
        <v>18</v>
      </c>
      <c r="F122" s="16" t="s">
        <v>18</v>
      </c>
      <c r="G122" s="14">
        <v>43839</v>
      </c>
      <c r="H122">
        <v>2020</v>
      </c>
      <c r="I122" s="10" t="s">
        <v>1878</v>
      </c>
      <c r="J122" s="10" t="s">
        <v>22</v>
      </c>
      <c r="K122" s="15">
        <v>2277.71</v>
      </c>
    </row>
    <row r="123" spans="1:11" x14ac:dyDescent="0.35">
      <c r="A123" s="10" t="s">
        <v>519</v>
      </c>
      <c r="B123" s="10" t="s">
        <v>520</v>
      </c>
      <c r="C123" s="10" t="s">
        <v>521</v>
      </c>
      <c r="D123" s="10" t="s">
        <v>1878</v>
      </c>
      <c r="E123" s="10" t="s">
        <v>1953</v>
      </c>
      <c r="F123" s="10" t="s">
        <v>1878</v>
      </c>
      <c r="G123" s="14">
        <v>44705</v>
      </c>
      <c r="H123">
        <v>2022</v>
      </c>
      <c r="I123" s="10" t="s">
        <v>1878</v>
      </c>
      <c r="J123" s="10" t="s">
        <v>29</v>
      </c>
      <c r="K123" s="15">
        <v>1411.95</v>
      </c>
    </row>
    <row r="124" spans="1:11" x14ac:dyDescent="0.35">
      <c r="A124" s="10" t="s">
        <v>524</v>
      </c>
      <c r="B124" s="10" t="s">
        <v>89</v>
      </c>
      <c r="C124" s="10" t="s">
        <v>525</v>
      </c>
      <c r="D124" s="10" t="s">
        <v>1878</v>
      </c>
      <c r="E124" s="10" t="s">
        <v>1954</v>
      </c>
      <c r="F124" s="10" t="s">
        <v>1878</v>
      </c>
      <c r="G124" s="14">
        <v>44572</v>
      </c>
      <c r="H124">
        <v>2022</v>
      </c>
      <c r="I124" s="10" t="s">
        <v>1878</v>
      </c>
      <c r="J124" s="10" t="s">
        <v>27</v>
      </c>
      <c r="K124" s="15">
        <v>1010.22</v>
      </c>
    </row>
    <row r="125" spans="1:11" x14ac:dyDescent="0.35">
      <c r="A125" s="10" t="s">
        <v>528</v>
      </c>
      <c r="B125" s="10" t="s">
        <v>155</v>
      </c>
      <c r="C125" s="10" t="s">
        <v>529</v>
      </c>
      <c r="D125" s="10" t="s">
        <v>1878</v>
      </c>
      <c r="E125" s="10" t="s">
        <v>1955</v>
      </c>
      <c r="F125" s="10" t="s">
        <v>1878</v>
      </c>
      <c r="G125" s="17" t="s">
        <v>18</v>
      </c>
      <c r="I125" s="16" t="s">
        <v>18</v>
      </c>
      <c r="J125" s="10" t="s">
        <v>29</v>
      </c>
      <c r="K125" s="15">
        <v>2404.63</v>
      </c>
    </row>
    <row r="126" spans="1:11" x14ac:dyDescent="0.35">
      <c r="A126" s="10" t="s">
        <v>531</v>
      </c>
      <c r="B126" s="10" t="s">
        <v>532</v>
      </c>
      <c r="C126" s="10" t="s">
        <v>533</v>
      </c>
      <c r="D126" s="10" t="s">
        <v>1878</v>
      </c>
      <c r="E126" s="10" t="s">
        <v>1956</v>
      </c>
      <c r="F126" s="10" t="s">
        <v>1878</v>
      </c>
      <c r="G126" s="14">
        <v>43540</v>
      </c>
      <c r="H126">
        <v>2019</v>
      </c>
      <c r="I126" s="10" t="s">
        <v>1878</v>
      </c>
      <c r="J126" s="10" t="s">
        <v>24</v>
      </c>
      <c r="K126" s="15">
        <v>0</v>
      </c>
    </row>
    <row r="127" spans="1:11" x14ac:dyDescent="0.35">
      <c r="A127" s="10" t="s">
        <v>536</v>
      </c>
      <c r="B127" s="10" t="s">
        <v>63</v>
      </c>
      <c r="C127" s="10" t="s">
        <v>537</v>
      </c>
      <c r="D127" s="10" t="s">
        <v>1878</v>
      </c>
      <c r="E127" s="10" t="s">
        <v>18</v>
      </c>
      <c r="F127" s="16" t="s">
        <v>18</v>
      </c>
      <c r="G127" s="17" t="s">
        <v>18</v>
      </c>
      <c r="I127" s="16" t="s">
        <v>18</v>
      </c>
      <c r="J127" s="10" t="s">
        <v>20</v>
      </c>
      <c r="K127" s="15">
        <v>2098.2399999999998</v>
      </c>
    </row>
    <row r="128" spans="1:11" x14ac:dyDescent="0.35">
      <c r="A128" s="10" t="s">
        <v>538</v>
      </c>
      <c r="B128" s="10" t="s">
        <v>49</v>
      </c>
      <c r="C128" s="10" t="s">
        <v>539</v>
      </c>
      <c r="D128" s="10" t="s">
        <v>1878</v>
      </c>
      <c r="E128" s="10" t="s">
        <v>1957</v>
      </c>
      <c r="F128" s="10" t="s">
        <v>1878</v>
      </c>
      <c r="G128" s="14">
        <v>45414</v>
      </c>
      <c r="H128">
        <v>2024</v>
      </c>
      <c r="I128" s="10" t="s">
        <v>1878</v>
      </c>
      <c r="J128" s="10" t="s">
        <v>27</v>
      </c>
      <c r="K128" s="15">
        <v>3370.69</v>
      </c>
    </row>
    <row r="129" spans="1:11" x14ac:dyDescent="0.35">
      <c r="A129" s="10" t="s">
        <v>542</v>
      </c>
      <c r="B129" s="10" t="s">
        <v>543</v>
      </c>
      <c r="C129" s="10" t="s">
        <v>544</v>
      </c>
      <c r="D129" s="10" t="s">
        <v>1878</v>
      </c>
      <c r="E129" s="10" t="s">
        <v>1958</v>
      </c>
      <c r="F129" s="10" t="s">
        <v>1878</v>
      </c>
      <c r="G129" s="14">
        <v>43879</v>
      </c>
      <c r="H129">
        <v>2020</v>
      </c>
      <c r="I129" s="10" t="s">
        <v>1878</v>
      </c>
      <c r="J129" s="10" t="s">
        <v>22</v>
      </c>
      <c r="K129" s="15">
        <v>0</v>
      </c>
    </row>
    <row r="130" spans="1:11" x14ac:dyDescent="0.35">
      <c r="A130" s="10" t="s">
        <v>547</v>
      </c>
      <c r="B130" s="10" t="s">
        <v>548</v>
      </c>
      <c r="C130" s="10" t="s">
        <v>549</v>
      </c>
      <c r="D130" s="10" t="s">
        <v>1878</v>
      </c>
      <c r="E130" s="10" t="s">
        <v>550</v>
      </c>
      <c r="F130" s="10" t="s">
        <v>1878</v>
      </c>
      <c r="G130" s="17" t="s">
        <v>18</v>
      </c>
      <c r="I130" s="16" t="s">
        <v>18</v>
      </c>
      <c r="J130" s="10" t="s">
        <v>26</v>
      </c>
      <c r="K130" s="15">
        <v>2970.76</v>
      </c>
    </row>
    <row r="131" spans="1:11" x14ac:dyDescent="0.35">
      <c r="A131" s="10" t="s">
        <v>551</v>
      </c>
      <c r="B131" s="10" t="s">
        <v>552</v>
      </c>
      <c r="C131" s="10" t="s">
        <v>553</v>
      </c>
      <c r="D131" s="10" t="s">
        <v>1878</v>
      </c>
      <c r="E131" s="10" t="s">
        <v>1959</v>
      </c>
      <c r="F131" s="10" t="s">
        <v>1878</v>
      </c>
      <c r="G131" s="14">
        <v>44106</v>
      </c>
      <c r="H131">
        <v>2020</v>
      </c>
      <c r="I131" s="10" t="s">
        <v>1878</v>
      </c>
      <c r="J131" s="10" t="s">
        <v>22</v>
      </c>
      <c r="K131" s="15">
        <v>0</v>
      </c>
    </row>
    <row r="132" spans="1:11" x14ac:dyDescent="0.35">
      <c r="A132" s="10" t="s">
        <v>556</v>
      </c>
      <c r="B132" s="10" t="s">
        <v>557</v>
      </c>
      <c r="C132" s="10" t="s">
        <v>558</v>
      </c>
      <c r="D132" s="10" t="s">
        <v>1878</v>
      </c>
      <c r="E132" s="10" t="s">
        <v>559</v>
      </c>
      <c r="F132" s="10" t="s">
        <v>1878</v>
      </c>
      <c r="G132" s="17" t="s">
        <v>18</v>
      </c>
      <c r="I132" s="16" t="s">
        <v>18</v>
      </c>
      <c r="J132" s="10" t="s">
        <v>26</v>
      </c>
      <c r="K132" s="15">
        <v>2513.5</v>
      </c>
    </row>
    <row r="133" spans="1:11" x14ac:dyDescent="0.35">
      <c r="A133" s="10" t="s">
        <v>560</v>
      </c>
      <c r="B133" s="10" t="s">
        <v>234</v>
      </c>
      <c r="C133" s="10" t="s">
        <v>561</v>
      </c>
      <c r="D133" s="10" t="s">
        <v>1878</v>
      </c>
      <c r="E133" s="10" t="s">
        <v>1960</v>
      </c>
      <c r="F133" s="10" t="s">
        <v>1878</v>
      </c>
      <c r="G133" s="14">
        <v>44995</v>
      </c>
      <c r="H133">
        <v>2023</v>
      </c>
      <c r="I133" s="10" t="s">
        <v>1878</v>
      </c>
      <c r="J133" s="10" t="s">
        <v>29</v>
      </c>
      <c r="K133" s="15">
        <v>1361.84</v>
      </c>
    </row>
    <row r="134" spans="1:11" x14ac:dyDescent="0.35">
      <c r="A134" s="10" t="s">
        <v>564</v>
      </c>
      <c r="B134" s="10" t="s">
        <v>354</v>
      </c>
      <c r="C134" s="10" t="s">
        <v>565</v>
      </c>
      <c r="D134" s="10" t="s">
        <v>1878</v>
      </c>
      <c r="E134" s="10" t="s">
        <v>1961</v>
      </c>
      <c r="F134" s="10" t="s">
        <v>1878</v>
      </c>
      <c r="G134" s="14">
        <v>43988</v>
      </c>
      <c r="H134">
        <v>2020</v>
      </c>
      <c r="I134" s="10" t="s">
        <v>1878</v>
      </c>
      <c r="J134" s="10" t="s">
        <v>29</v>
      </c>
      <c r="K134" s="15">
        <v>897.52</v>
      </c>
    </row>
    <row r="135" spans="1:11" x14ac:dyDescent="0.35">
      <c r="A135" s="10" t="s">
        <v>568</v>
      </c>
      <c r="B135" s="10" t="s">
        <v>490</v>
      </c>
      <c r="C135" s="10" t="s">
        <v>569</v>
      </c>
      <c r="D135" s="10" t="s">
        <v>1878</v>
      </c>
      <c r="E135" s="10" t="s">
        <v>1962</v>
      </c>
      <c r="F135" s="10" t="s">
        <v>1878</v>
      </c>
      <c r="G135" s="14">
        <v>44192</v>
      </c>
      <c r="H135">
        <v>2020</v>
      </c>
      <c r="I135" s="10" t="s">
        <v>1878</v>
      </c>
      <c r="J135" s="10" t="s">
        <v>27</v>
      </c>
      <c r="K135" s="15">
        <v>2310.89</v>
      </c>
    </row>
    <row r="136" spans="1:11" x14ac:dyDescent="0.35">
      <c r="A136" s="10" t="s">
        <v>572</v>
      </c>
      <c r="B136" s="10" t="s">
        <v>191</v>
      </c>
      <c r="C136" s="10" t="s">
        <v>18</v>
      </c>
      <c r="D136" s="16" t="s">
        <v>18</v>
      </c>
      <c r="E136" s="10" t="s">
        <v>18</v>
      </c>
      <c r="F136" s="16" t="s">
        <v>18</v>
      </c>
      <c r="G136" s="14">
        <v>44413</v>
      </c>
      <c r="H136">
        <v>2021</v>
      </c>
      <c r="I136" s="10" t="s">
        <v>1878</v>
      </c>
      <c r="J136" s="10" t="s">
        <v>29</v>
      </c>
      <c r="K136" s="15">
        <v>4225.72</v>
      </c>
    </row>
    <row r="137" spans="1:11" x14ac:dyDescent="0.35">
      <c r="A137" s="10" t="s">
        <v>574</v>
      </c>
      <c r="B137" s="10" t="s">
        <v>469</v>
      </c>
      <c r="C137" s="10" t="s">
        <v>575</v>
      </c>
      <c r="D137" s="10" t="s">
        <v>1878</v>
      </c>
      <c r="E137" s="10" t="s">
        <v>1963</v>
      </c>
      <c r="F137" s="10" t="s">
        <v>1878</v>
      </c>
      <c r="G137" s="14">
        <v>45214</v>
      </c>
      <c r="H137">
        <v>2023</v>
      </c>
      <c r="I137" s="10" t="s">
        <v>1878</v>
      </c>
      <c r="J137" s="10" t="s">
        <v>29</v>
      </c>
      <c r="K137" s="15">
        <v>1870.92</v>
      </c>
    </row>
    <row r="138" spans="1:11" x14ac:dyDescent="0.35">
      <c r="A138" s="10" t="s">
        <v>578</v>
      </c>
      <c r="B138" s="10" t="s">
        <v>579</v>
      </c>
      <c r="C138" s="10" t="s">
        <v>580</v>
      </c>
      <c r="D138" s="10" t="s">
        <v>1878</v>
      </c>
      <c r="E138" s="10" t="s">
        <v>581</v>
      </c>
      <c r="F138" s="10" t="s">
        <v>1878</v>
      </c>
      <c r="G138" s="14">
        <v>43593</v>
      </c>
      <c r="H138">
        <v>2019</v>
      </c>
      <c r="I138" s="10" t="s">
        <v>1878</v>
      </c>
      <c r="J138" s="10" t="s">
        <v>27</v>
      </c>
      <c r="K138" s="15">
        <v>1821.77</v>
      </c>
    </row>
    <row r="139" spans="1:11" x14ac:dyDescent="0.35">
      <c r="A139" s="10" t="s">
        <v>583</v>
      </c>
      <c r="B139" s="10" t="s">
        <v>584</v>
      </c>
      <c r="C139" s="10" t="s">
        <v>18</v>
      </c>
      <c r="D139" s="16" t="s">
        <v>18</v>
      </c>
      <c r="E139" s="10" t="s">
        <v>1964</v>
      </c>
      <c r="F139" s="10" t="s">
        <v>1878</v>
      </c>
      <c r="G139" s="17" t="s">
        <v>18</v>
      </c>
      <c r="I139" s="16" t="s">
        <v>18</v>
      </c>
      <c r="J139" s="10" t="s">
        <v>26</v>
      </c>
      <c r="K139" s="15">
        <v>1811.51</v>
      </c>
    </row>
    <row r="140" spans="1:11" x14ac:dyDescent="0.35">
      <c r="A140" s="10" t="s">
        <v>586</v>
      </c>
      <c r="B140" s="10" t="s">
        <v>225</v>
      </c>
      <c r="C140" s="10" t="s">
        <v>18</v>
      </c>
      <c r="D140" s="16" t="s">
        <v>18</v>
      </c>
      <c r="E140" s="10" t="s">
        <v>18</v>
      </c>
      <c r="F140" s="16" t="s">
        <v>18</v>
      </c>
      <c r="G140" s="14">
        <v>44462</v>
      </c>
      <c r="H140">
        <v>2021</v>
      </c>
      <c r="I140" s="10" t="s">
        <v>1878</v>
      </c>
      <c r="J140" s="10" t="s">
        <v>22</v>
      </c>
      <c r="K140" s="15">
        <v>2911</v>
      </c>
    </row>
    <row r="141" spans="1:11" x14ac:dyDescent="0.35">
      <c r="A141" s="10" t="s">
        <v>588</v>
      </c>
      <c r="B141" s="10" t="s">
        <v>589</v>
      </c>
      <c r="C141" s="10" t="s">
        <v>590</v>
      </c>
      <c r="D141" s="10" t="s">
        <v>1878</v>
      </c>
      <c r="E141" s="10" t="s">
        <v>1965</v>
      </c>
      <c r="F141" s="10" t="s">
        <v>1878</v>
      </c>
      <c r="G141" s="14">
        <v>45155</v>
      </c>
      <c r="H141">
        <v>2023</v>
      </c>
      <c r="I141" s="10" t="s">
        <v>1878</v>
      </c>
      <c r="J141" s="10" t="s">
        <v>29</v>
      </c>
      <c r="K141" s="15">
        <v>740.19</v>
      </c>
    </row>
    <row r="142" spans="1:11" x14ac:dyDescent="0.35">
      <c r="A142" s="10" t="s">
        <v>593</v>
      </c>
      <c r="B142" s="10" t="s">
        <v>461</v>
      </c>
      <c r="C142" s="10" t="s">
        <v>594</v>
      </c>
      <c r="D142" s="10" t="s">
        <v>1878</v>
      </c>
      <c r="E142" s="10" t="s">
        <v>1966</v>
      </c>
      <c r="F142" s="10" t="s">
        <v>1878</v>
      </c>
      <c r="G142" s="17" t="s">
        <v>18</v>
      </c>
      <c r="I142" s="16" t="s">
        <v>18</v>
      </c>
      <c r="J142" s="10" t="s">
        <v>22</v>
      </c>
      <c r="K142" s="15">
        <v>1756</v>
      </c>
    </row>
    <row r="143" spans="1:11" x14ac:dyDescent="0.35">
      <c r="A143" s="10" t="s">
        <v>596</v>
      </c>
      <c r="B143" s="10" t="s">
        <v>597</v>
      </c>
      <c r="C143" s="10" t="s">
        <v>598</v>
      </c>
      <c r="D143" s="10" t="s">
        <v>1878</v>
      </c>
      <c r="E143" s="10" t="s">
        <v>1967</v>
      </c>
      <c r="F143" s="10" t="s">
        <v>1878</v>
      </c>
      <c r="G143" s="17" t="s">
        <v>18</v>
      </c>
      <c r="I143" s="16" t="s">
        <v>18</v>
      </c>
      <c r="J143" s="10" t="s">
        <v>29</v>
      </c>
      <c r="K143" s="15">
        <v>1170.3900000000001</v>
      </c>
    </row>
    <row r="144" spans="1:11" x14ac:dyDescent="0.35">
      <c r="A144" s="10" t="s">
        <v>600</v>
      </c>
      <c r="B144" s="10" t="s">
        <v>601</v>
      </c>
      <c r="C144" s="10" t="s">
        <v>602</v>
      </c>
      <c r="D144" s="10" t="s">
        <v>1878</v>
      </c>
      <c r="E144" s="10" t="s">
        <v>1968</v>
      </c>
      <c r="F144" s="10" t="s">
        <v>1878</v>
      </c>
      <c r="G144" s="14">
        <v>45282</v>
      </c>
      <c r="H144">
        <v>2023</v>
      </c>
      <c r="I144" s="10" t="s">
        <v>1878</v>
      </c>
      <c r="J144" s="10" t="s">
        <v>20</v>
      </c>
      <c r="K144" s="15">
        <v>795.86</v>
      </c>
    </row>
    <row r="145" spans="1:11" x14ac:dyDescent="0.35">
      <c r="A145" s="10" t="s">
        <v>605</v>
      </c>
      <c r="B145" s="10" t="s">
        <v>75</v>
      </c>
      <c r="C145" s="10" t="s">
        <v>606</v>
      </c>
      <c r="D145" s="10" t="s">
        <v>1878</v>
      </c>
      <c r="E145" s="10" t="s">
        <v>1969</v>
      </c>
      <c r="F145" s="10" t="s">
        <v>1878</v>
      </c>
      <c r="G145" s="14">
        <v>43981</v>
      </c>
      <c r="H145">
        <v>2020</v>
      </c>
      <c r="I145" s="10" t="s">
        <v>1878</v>
      </c>
      <c r="J145" s="10" t="s">
        <v>29</v>
      </c>
      <c r="K145" s="15">
        <v>372.22</v>
      </c>
    </row>
    <row r="146" spans="1:11" x14ac:dyDescent="0.35">
      <c r="A146" s="10" t="s">
        <v>609</v>
      </c>
      <c r="B146" s="10" t="s">
        <v>140</v>
      </c>
      <c r="C146" s="10" t="s">
        <v>610</v>
      </c>
      <c r="D146" s="10" t="s">
        <v>1878</v>
      </c>
      <c r="E146" s="10" t="s">
        <v>1970</v>
      </c>
      <c r="F146" s="10" t="s">
        <v>1878</v>
      </c>
      <c r="G146" s="14">
        <v>44316</v>
      </c>
      <c r="H146">
        <v>2021</v>
      </c>
      <c r="I146" s="10" t="s">
        <v>1878</v>
      </c>
      <c r="J146" s="10" t="s">
        <v>20</v>
      </c>
      <c r="K146" s="15">
        <v>942.8</v>
      </c>
    </row>
    <row r="147" spans="1:11" x14ac:dyDescent="0.35">
      <c r="A147" s="10" t="s">
        <v>613</v>
      </c>
      <c r="B147" s="10" t="s">
        <v>155</v>
      </c>
      <c r="C147" s="10" t="s">
        <v>614</v>
      </c>
      <c r="D147" s="10" t="s">
        <v>1878</v>
      </c>
      <c r="E147" s="10" t="s">
        <v>615</v>
      </c>
      <c r="F147" s="10" t="s">
        <v>1878</v>
      </c>
      <c r="G147" s="17" t="s">
        <v>18</v>
      </c>
      <c r="I147" s="16" t="s">
        <v>18</v>
      </c>
      <c r="J147" s="10" t="s">
        <v>24</v>
      </c>
      <c r="K147" s="15">
        <v>-4771</v>
      </c>
    </row>
    <row r="148" spans="1:11" x14ac:dyDescent="0.35">
      <c r="A148" s="10" t="s">
        <v>616</v>
      </c>
      <c r="B148" s="10" t="s">
        <v>303</v>
      </c>
      <c r="C148" s="10" t="s">
        <v>617</v>
      </c>
      <c r="D148" s="10" t="s">
        <v>1878</v>
      </c>
      <c r="E148" s="10" t="s">
        <v>1971</v>
      </c>
      <c r="F148" s="10" t="s">
        <v>1878</v>
      </c>
      <c r="G148" s="17" t="s">
        <v>18</v>
      </c>
      <c r="I148" s="16" t="s">
        <v>18</v>
      </c>
      <c r="J148" s="10" t="s">
        <v>29</v>
      </c>
      <c r="K148" s="15">
        <v>2993.24</v>
      </c>
    </row>
    <row r="149" spans="1:11" x14ac:dyDescent="0.35">
      <c r="A149" s="10" t="s">
        <v>619</v>
      </c>
      <c r="B149" s="10" t="s">
        <v>620</v>
      </c>
      <c r="C149" s="10" t="s">
        <v>621</v>
      </c>
      <c r="D149" s="10" t="s">
        <v>1878</v>
      </c>
      <c r="E149" s="10" t="s">
        <v>18</v>
      </c>
      <c r="F149" s="16" t="s">
        <v>18</v>
      </c>
      <c r="G149" s="14">
        <v>43693</v>
      </c>
      <c r="H149">
        <v>2019</v>
      </c>
      <c r="I149" s="10" t="s">
        <v>1878</v>
      </c>
      <c r="J149" s="10" t="s">
        <v>22</v>
      </c>
      <c r="K149" s="15">
        <v>824.15</v>
      </c>
    </row>
    <row r="150" spans="1:11" x14ac:dyDescent="0.35">
      <c r="A150" s="10" t="s">
        <v>623</v>
      </c>
      <c r="B150" s="10" t="s">
        <v>624</v>
      </c>
      <c r="C150" s="10" t="s">
        <v>1972</v>
      </c>
      <c r="D150" s="10" t="s">
        <v>1878</v>
      </c>
      <c r="E150" s="10" t="s">
        <v>18</v>
      </c>
      <c r="F150" s="16" t="s">
        <v>18</v>
      </c>
      <c r="G150" s="14">
        <v>45212</v>
      </c>
      <c r="H150">
        <v>2023</v>
      </c>
      <c r="I150" s="10" t="s">
        <v>1878</v>
      </c>
      <c r="J150" s="10" t="s">
        <v>26</v>
      </c>
      <c r="K150" s="15">
        <v>60</v>
      </c>
    </row>
    <row r="151" spans="1:11" x14ac:dyDescent="0.35">
      <c r="A151" s="10" t="s">
        <v>627</v>
      </c>
      <c r="B151" s="10" t="s">
        <v>298</v>
      </c>
      <c r="C151" s="10" t="s">
        <v>628</v>
      </c>
      <c r="D151" s="10" t="s">
        <v>1878</v>
      </c>
      <c r="E151" s="10" t="s">
        <v>629</v>
      </c>
      <c r="F151" s="10" t="s">
        <v>1878</v>
      </c>
      <c r="G151" s="14">
        <v>44964</v>
      </c>
      <c r="H151">
        <v>2023</v>
      </c>
      <c r="I151" s="10" t="s">
        <v>1878</v>
      </c>
      <c r="J151" s="10" t="s">
        <v>27</v>
      </c>
      <c r="K151" s="15">
        <v>197.18</v>
      </c>
    </row>
    <row r="152" spans="1:11" x14ac:dyDescent="0.35">
      <c r="A152" s="10" t="s">
        <v>631</v>
      </c>
      <c r="B152" s="10" t="s">
        <v>632</v>
      </c>
      <c r="C152" s="10" t="s">
        <v>633</v>
      </c>
      <c r="D152" s="10" t="s">
        <v>1878</v>
      </c>
      <c r="E152" s="10" t="s">
        <v>634</v>
      </c>
      <c r="F152" s="10" t="s">
        <v>1878</v>
      </c>
      <c r="G152" s="14">
        <v>45248</v>
      </c>
      <c r="H152">
        <v>2023</v>
      </c>
      <c r="I152" s="10" t="s">
        <v>1878</v>
      </c>
      <c r="J152" s="10" t="s">
        <v>22</v>
      </c>
      <c r="K152" s="15">
        <v>2636.85</v>
      </c>
    </row>
    <row r="153" spans="1:11" x14ac:dyDescent="0.35">
      <c r="A153" s="10" t="s">
        <v>636</v>
      </c>
      <c r="B153" s="10" t="s">
        <v>637</v>
      </c>
      <c r="C153" s="10" t="s">
        <v>638</v>
      </c>
      <c r="D153" s="10" t="s">
        <v>1878</v>
      </c>
      <c r="E153" s="10" t="s">
        <v>639</v>
      </c>
      <c r="F153" s="10" t="s">
        <v>1878</v>
      </c>
      <c r="G153" s="17" t="s">
        <v>18</v>
      </c>
      <c r="I153" s="16" t="s">
        <v>18</v>
      </c>
      <c r="J153" s="10" t="s">
        <v>26</v>
      </c>
      <c r="K153" s="15">
        <v>-1510</v>
      </c>
    </row>
    <row r="154" spans="1:11" x14ac:dyDescent="0.35">
      <c r="A154" s="10" t="s">
        <v>640</v>
      </c>
      <c r="B154" s="10" t="s">
        <v>641</v>
      </c>
      <c r="C154" s="10" t="s">
        <v>1973</v>
      </c>
      <c r="D154" s="10" t="s">
        <v>1878</v>
      </c>
      <c r="E154" s="10" t="s">
        <v>18</v>
      </c>
      <c r="F154" s="16" t="s">
        <v>18</v>
      </c>
      <c r="G154" s="14">
        <v>44366</v>
      </c>
      <c r="H154">
        <v>2021</v>
      </c>
      <c r="I154" s="10" t="s">
        <v>1878</v>
      </c>
      <c r="J154" s="10" t="s">
        <v>28</v>
      </c>
      <c r="K154" s="15">
        <v>2070.23</v>
      </c>
    </row>
    <row r="155" spans="1:11" x14ac:dyDescent="0.35">
      <c r="A155" s="10" t="s">
        <v>317</v>
      </c>
      <c r="B155" s="10" t="s">
        <v>318</v>
      </c>
      <c r="C155" s="10" t="s">
        <v>319</v>
      </c>
      <c r="D155" s="10" t="s">
        <v>1878</v>
      </c>
      <c r="E155" s="10" t="s">
        <v>1923</v>
      </c>
      <c r="F155" s="10" t="s">
        <v>1878</v>
      </c>
      <c r="G155" s="14">
        <v>43560</v>
      </c>
      <c r="H155">
        <v>2019</v>
      </c>
      <c r="I155" s="10" t="s">
        <v>1878</v>
      </c>
      <c r="J155" s="10" t="s">
        <v>20</v>
      </c>
      <c r="K155" s="15">
        <v>2186.8000000000002</v>
      </c>
    </row>
    <row r="156" spans="1:11" x14ac:dyDescent="0.35">
      <c r="A156" s="10" t="s">
        <v>644</v>
      </c>
      <c r="B156" s="10" t="s">
        <v>645</v>
      </c>
      <c r="C156" s="10" t="s">
        <v>18</v>
      </c>
      <c r="D156" s="16" t="s">
        <v>18</v>
      </c>
      <c r="E156" s="10" t="s">
        <v>18</v>
      </c>
      <c r="F156" s="16" t="s">
        <v>18</v>
      </c>
      <c r="G156" s="14">
        <v>43638</v>
      </c>
      <c r="H156">
        <v>2019</v>
      </c>
      <c r="I156" s="10" t="s">
        <v>1878</v>
      </c>
      <c r="J156" s="10" t="s">
        <v>26</v>
      </c>
      <c r="K156" s="15">
        <v>1994.84</v>
      </c>
    </row>
    <row r="157" spans="1:11" x14ac:dyDescent="0.35">
      <c r="A157" s="10" t="s">
        <v>647</v>
      </c>
      <c r="B157" s="10" t="s">
        <v>204</v>
      </c>
      <c r="C157" s="10" t="s">
        <v>648</v>
      </c>
      <c r="D157" s="10" t="s">
        <v>1878</v>
      </c>
      <c r="E157" s="10" t="s">
        <v>1974</v>
      </c>
      <c r="F157" s="10" t="s">
        <v>1878</v>
      </c>
      <c r="G157" s="14">
        <v>43576</v>
      </c>
      <c r="H157">
        <v>2019</v>
      </c>
      <c r="I157" s="10" t="s">
        <v>1878</v>
      </c>
      <c r="J157" s="10" t="s">
        <v>29</v>
      </c>
      <c r="K157" s="15">
        <v>2938.25</v>
      </c>
    </row>
    <row r="158" spans="1:11" x14ac:dyDescent="0.35">
      <c r="A158" s="10" t="s">
        <v>651</v>
      </c>
      <c r="B158" s="10" t="s">
        <v>177</v>
      </c>
      <c r="C158" s="10" t="s">
        <v>652</v>
      </c>
      <c r="D158" s="10" t="s">
        <v>1878</v>
      </c>
      <c r="E158" s="10" t="s">
        <v>653</v>
      </c>
      <c r="F158" s="10" t="s">
        <v>1878</v>
      </c>
      <c r="G158" s="14">
        <v>44070</v>
      </c>
      <c r="H158">
        <v>2020</v>
      </c>
      <c r="I158" s="10" t="s">
        <v>1878</v>
      </c>
      <c r="J158" s="10" t="s">
        <v>27</v>
      </c>
      <c r="K158" s="15">
        <v>3205</v>
      </c>
    </row>
    <row r="159" spans="1:11" x14ac:dyDescent="0.35">
      <c r="A159" s="10" t="s">
        <v>655</v>
      </c>
      <c r="B159" s="10" t="s">
        <v>461</v>
      </c>
      <c r="C159" s="10" t="s">
        <v>656</v>
      </c>
      <c r="D159" s="10" t="s">
        <v>1878</v>
      </c>
      <c r="E159" s="10" t="s">
        <v>1975</v>
      </c>
      <c r="F159" s="10" t="s">
        <v>1878</v>
      </c>
      <c r="G159" s="14">
        <v>43876</v>
      </c>
      <c r="H159">
        <v>2020</v>
      </c>
      <c r="I159" s="10" t="s">
        <v>1878</v>
      </c>
      <c r="J159" s="10" t="s">
        <v>20</v>
      </c>
      <c r="K159" s="15">
        <v>3205.49</v>
      </c>
    </row>
    <row r="160" spans="1:11" x14ac:dyDescent="0.35">
      <c r="A160" s="10" t="s">
        <v>659</v>
      </c>
      <c r="B160" s="10" t="s">
        <v>660</v>
      </c>
      <c r="C160" s="10" t="s">
        <v>18</v>
      </c>
      <c r="D160" s="16" t="s">
        <v>18</v>
      </c>
      <c r="E160" s="10" t="s">
        <v>18</v>
      </c>
      <c r="F160" s="16" t="s">
        <v>18</v>
      </c>
      <c r="G160" s="17" t="s">
        <v>18</v>
      </c>
      <c r="I160" s="16" t="s">
        <v>18</v>
      </c>
      <c r="J160" s="10" t="s">
        <v>26</v>
      </c>
      <c r="K160" s="15">
        <v>2174.46</v>
      </c>
    </row>
    <row r="161" spans="1:11" x14ac:dyDescent="0.35">
      <c r="A161" s="10" t="s">
        <v>661</v>
      </c>
      <c r="B161" s="10" t="s">
        <v>662</v>
      </c>
      <c r="C161" s="10" t="s">
        <v>663</v>
      </c>
      <c r="D161" s="10" t="s">
        <v>1878</v>
      </c>
      <c r="E161" s="10" t="s">
        <v>1976</v>
      </c>
      <c r="F161" s="10" t="s">
        <v>1878</v>
      </c>
      <c r="G161" s="14">
        <v>44221</v>
      </c>
      <c r="H161">
        <v>2021</v>
      </c>
      <c r="I161" s="10" t="s">
        <v>1878</v>
      </c>
      <c r="J161" s="10" t="s">
        <v>29</v>
      </c>
      <c r="K161" s="15">
        <v>4726.03</v>
      </c>
    </row>
    <row r="162" spans="1:11" x14ac:dyDescent="0.35">
      <c r="A162" s="10" t="s">
        <v>666</v>
      </c>
      <c r="B162" s="10" t="s">
        <v>368</v>
      </c>
      <c r="C162" s="10" t="s">
        <v>667</v>
      </c>
      <c r="D162" s="10" t="s">
        <v>1878</v>
      </c>
      <c r="E162" s="10" t="s">
        <v>18</v>
      </c>
      <c r="F162" s="16" t="s">
        <v>18</v>
      </c>
      <c r="G162" s="17" t="s">
        <v>18</v>
      </c>
      <c r="I162" s="16" t="s">
        <v>18</v>
      </c>
      <c r="J162" s="10" t="s">
        <v>22</v>
      </c>
      <c r="K162" s="15">
        <v>2754.36</v>
      </c>
    </row>
    <row r="163" spans="1:11" x14ac:dyDescent="0.35">
      <c r="A163" s="10" t="s">
        <v>668</v>
      </c>
      <c r="B163" s="10" t="s">
        <v>669</v>
      </c>
      <c r="C163" s="10" t="s">
        <v>1977</v>
      </c>
      <c r="D163" s="10" t="s">
        <v>1878</v>
      </c>
      <c r="E163" s="10" t="s">
        <v>1978</v>
      </c>
      <c r="F163" s="10" t="s">
        <v>1878</v>
      </c>
      <c r="G163" s="17" t="s">
        <v>18</v>
      </c>
      <c r="I163" s="16" t="s">
        <v>18</v>
      </c>
      <c r="J163" s="10" t="s">
        <v>22</v>
      </c>
      <c r="K163" s="15">
        <v>544.48</v>
      </c>
    </row>
    <row r="164" spans="1:11" x14ac:dyDescent="0.35">
      <c r="A164" s="10" t="s">
        <v>672</v>
      </c>
      <c r="B164" s="10" t="s">
        <v>660</v>
      </c>
      <c r="C164" s="10" t="s">
        <v>673</v>
      </c>
      <c r="D164" s="10" t="s">
        <v>1878</v>
      </c>
      <c r="E164" s="10" t="s">
        <v>674</v>
      </c>
      <c r="F164" s="10" t="s">
        <v>1878</v>
      </c>
      <c r="G164" s="14">
        <v>45323</v>
      </c>
      <c r="H164">
        <v>2024</v>
      </c>
      <c r="I164" s="10" t="s">
        <v>1878</v>
      </c>
      <c r="J164" s="10" t="s">
        <v>26</v>
      </c>
      <c r="K164" s="15">
        <v>3357</v>
      </c>
    </row>
    <row r="165" spans="1:11" x14ac:dyDescent="0.35">
      <c r="A165" s="10" t="s">
        <v>676</v>
      </c>
      <c r="B165" s="10" t="s">
        <v>677</v>
      </c>
      <c r="C165" s="10" t="s">
        <v>678</v>
      </c>
      <c r="D165" s="10" t="s">
        <v>1878</v>
      </c>
      <c r="E165" s="10" t="s">
        <v>1979</v>
      </c>
      <c r="F165" s="10" t="s">
        <v>1878</v>
      </c>
      <c r="G165" s="14">
        <v>43685</v>
      </c>
      <c r="H165">
        <v>2019</v>
      </c>
      <c r="I165" s="10" t="s">
        <v>1878</v>
      </c>
      <c r="J165" s="10" t="s">
        <v>22</v>
      </c>
      <c r="K165" s="15">
        <v>4251.75</v>
      </c>
    </row>
    <row r="166" spans="1:11" x14ac:dyDescent="0.35">
      <c r="A166" s="10" t="s">
        <v>681</v>
      </c>
      <c r="B166" s="10" t="s">
        <v>682</v>
      </c>
      <c r="C166" s="10" t="s">
        <v>683</v>
      </c>
      <c r="D166" s="10" t="s">
        <v>1878</v>
      </c>
      <c r="E166" s="10" t="s">
        <v>1980</v>
      </c>
      <c r="F166" s="10" t="s">
        <v>1878</v>
      </c>
      <c r="G166" s="14">
        <v>43589</v>
      </c>
      <c r="H166">
        <v>2019</v>
      </c>
      <c r="I166" s="10" t="s">
        <v>1878</v>
      </c>
      <c r="J166" s="10" t="s">
        <v>24</v>
      </c>
      <c r="K166" s="15">
        <v>4689.92</v>
      </c>
    </row>
    <row r="167" spans="1:11" x14ac:dyDescent="0.35">
      <c r="A167" s="10" t="s">
        <v>686</v>
      </c>
      <c r="B167" s="10" t="s">
        <v>331</v>
      </c>
      <c r="C167" s="10" t="s">
        <v>18</v>
      </c>
      <c r="D167" s="16" t="s">
        <v>18</v>
      </c>
      <c r="E167" s="10" t="s">
        <v>1981</v>
      </c>
      <c r="F167" s="10" t="s">
        <v>1878</v>
      </c>
      <c r="G167" s="14">
        <v>44024</v>
      </c>
      <c r="H167">
        <v>2020</v>
      </c>
      <c r="I167" s="10" t="s">
        <v>1878</v>
      </c>
      <c r="J167" s="10" t="s">
        <v>29</v>
      </c>
      <c r="K167" s="15">
        <v>4321.13</v>
      </c>
    </row>
    <row r="168" spans="1:11" x14ac:dyDescent="0.35">
      <c r="A168" s="10" t="s">
        <v>689</v>
      </c>
      <c r="B168" s="10" t="s">
        <v>690</v>
      </c>
      <c r="C168" s="10" t="s">
        <v>691</v>
      </c>
      <c r="D168" s="10" t="s">
        <v>1878</v>
      </c>
      <c r="E168" s="10" t="s">
        <v>1982</v>
      </c>
      <c r="F168" s="10" t="s">
        <v>1878</v>
      </c>
      <c r="G168" s="14">
        <v>43872</v>
      </c>
      <c r="H168">
        <v>2020</v>
      </c>
      <c r="I168" s="10" t="s">
        <v>1878</v>
      </c>
      <c r="J168" s="10" t="s">
        <v>29</v>
      </c>
      <c r="K168" s="15">
        <v>4223.7299999999996</v>
      </c>
    </row>
    <row r="169" spans="1:11" x14ac:dyDescent="0.35">
      <c r="A169" s="10" t="s">
        <v>694</v>
      </c>
      <c r="B169" s="10" t="s">
        <v>288</v>
      </c>
      <c r="C169" s="10" t="s">
        <v>695</v>
      </c>
      <c r="D169" s="10" t="s">
        <v>1878</v>
      </c>
      <c r="E169" s="10" t="s">
        <v>1983</v>
      </c>
      <c r="F169" s="10" t="s">
        <v>1878</v>
      </c>
      <c r="G169" s="14">
        <v>44331</v>
      </c>
      <c r="H169">
        <v>2021</v>
      </c>
      <c r="I169" s="10" t="s">
        <v>1878</v>
      </c>
      <c r="J169" s="10" t="s">
        <v>26</v>
      </c>
      <c r="K169" s="15">
        <v>372.88</v>
      </c>
    </row>
    <row r="170" spans="1:11" x14ac:dyDescent="0.35">
      <c r="A170" s="10" t="s">
        <v>698</v>
      </c>
      <c r="B170" s="10" t="s">
        <v>699</v>
      </c>
      <c r="C170" s="10" t="s">
        <v>700</v>
      </c>
      <c r="D170" s="10" t="s">
        <v>1878</v>
      </c>
      <c r="E170" s="10" t="s">
        <v>18</v>
      </c>
      <c r="F170" s="16" t="s">
        <v>18</v>
      </c>
      <c r="G170" s="14">
        <v>43502</v>
      </c>
      <c r="H170">
        <v>2019</v>
      </c>
      <c r="I170" s="10" t="s">
        <v>1878</v>
      </c>
      <c r="J170" s="10" t="s">
        <v>26</v>
      </c>
      <c r="K170" s="15">
        <v>4334.05</v>
      </c>
    </row>
    <row r="171" spans="1:11" x14ac:dyDescent="0.35">
      <c r="A171" s="10" t="s">
        <v>702</v>
      </c>
      <c r="B171" s="10" t="s">
        <v>703</v>
      </c>
      <c r="C171" s="10" t="s">
        <v>704</v>
      </c>
      <c r="D171" s="10" t="s">
        <v>1878</v>
      </c>
      <c r="E171" s="10" t="s">
        <v>705</v>
      </c>
      <c r="F171" s="10" t="s">
        <v>1878</v>
      </c>
      <c r="G171" s="14">
        <v>44434</v>
      </c>
      <c r="H171">
        <v>2021</v>
      </c>
      <c r="I171" s="10" t="s">
        <v>1878</v>
      </c>
      <c r="J171" s="10" t="s">
        <v>28</v>
      </c>
      <c r="K171" s="15">
        <v>1700.37</v>
      </c>
    </row>
    <row r="172" spans="1:11" x14ac:dyDescent="0.35">
      <c r="A172" s="10" t="s">
        <v>707</v>
      </c>
      <c r="B172" s="10" t="s">
        <v>708</v>
      </c>
      <c r="C172" s="10" t="s">
        <v>709</v>
      </c>
      <c r="D172" s="10" t="s">
        <v>1878</v>
      </c>
      <c r="E172" s="10" t="s">
        <v>1984</v>
      </c>
      <c r="F172" s="10" t="s">
        <v>1878</v>
      </c>
      <c r="G172" s="14">
        <v>44933</v>
      </c>
      <c r="H172">
        <v>2023</v>
      </c>
      <c r="I172" s="10" t="s">
        <v>1878</v>
      </c>
      <c r="J172" s="10" t="s">
        <v>22</v>
      </c>
      <c r="K172" s="15">
        <v>681.21</v>
      </c>
    </row>
    <row r="173" spans="1:11" x14ac:dyDescent="0.35">
      <c r="A173" s="10" t="s">
        <v>712</v>
      </c>
      <c r="B173" s="10" t="s">
        <v>713</v>
      </c>
      <c r="C173" s="10" t="s">
        <v>714</v>
      </c>
      <c r="D173" s="10" t="s">
        <v>1878</v>
      </c>
      <c r="E173" s="10" t="s">
        <v>1985</v>
      </c>
      <c r="F173" s="10" t="s">
        <v>1878</v>
      </c>
      <c r="G173" s="17" t="s">
        <v>18</v>
      </c>
      <c r="I173" s="16" t="s">
        <v>18</v>
      </c>
      <c r="J173" s="10" t="s">
        <v>22</v>
      </c>
      <c r="K173" s="15">
        <v>3475.28</v>
      </c>
    </row>
    <row r="174" spans="1:11" x14ac:dyDescent="0.35">
      <c r="A174" s="10" t="s">
        <v>716</v>
      </c>
      <c r="B174" s="10" t="s">
        <v>53</v>
      </c>
      <c r="C174" s="10" t="s">
        <v>717</v>
      </c>
      <c r="D174" s="10" t="s">
        <v>1878</v>
      </c>
      <c r="E174" s="10" t="s">
        <v>1986</v>
      </c>
      <c r="F174" s="10" t="s">
        <v>1878</v>
      </c>
      <c r="G174" s="14">
        <v>44952</v>
      </c>
      <c r="H174">
        <v>2023</v>
      </c>
      <c r="I174" s="10" t="s">
        <v>1878</v>
      </c>
      <c r="J174" s="10" t="s">
        <v>29</v>
      </c>
      <c r="K174" s="15">
        <v>875.46</v>
      </c>
    </row>
    <row r="175" spans="1:11" x14ac:dyDescent="0.35">
      <c r="A175" s="10" t="s">
        <v>720</v>
      </c>
      <c r="B175" s="10" t="s">
        <v>721</v>
      </c>
      <c r="C175" s="10" t="s">
        <v>722</v>
      </c>
      <c r="D175" s="10" t="s">
        <v>1878</v>
      </c>
      <c r="E175" s="10" t="s">
        <v>723</v>
      </c>
      <c r="F175" s="10" t="s">
        <v>1878</v>
      </c>
      <c r="G175" s="14">
        <v>43780</v>
      </c>
      <c r="H175">
        <v>2019</v>
      </c>
      <c r="I175" s="10" t="s">
        <v>1878</v>
      </c>
      <c r="J175" s="10" t="s">
        <v>20</v>
      </c>
      <c r="K175" s="15">
        <v>0</v>
      </c>
    </row>
    <row r="176" spans="1:11" x14ac:dyDescent="0.35">
      <c r="A176" s="10" t="s">
        <v>725</v>
      </c>
      <c r="B176" s="10" t="s">
        <v>726</v>
      </c>
      <c r="C176" s="10" t="s">
        <v>727</v>
      </c>
      <c r="D176" s="10" t="s">
        <v>1878</v>
      </c>
      <c r="E176" s="10" t="s">
        <v>1987</v>
      </c>
      <c r="F176" s="10" t="s">
        <v>1878</v>
      </c>
      <c r="G176" s="14">
        <v>44469</v>
      </c>
      <c r="H176">
        <v>2021</v>
      </c>
      <c r="I176" s="10" t="s">
        <v>1878</v>
      </c>
      <c r="J176" s="10" t="s">
        <v>27</v>
      </c>
      <c r="K176" s="15">
        <v>0</v>
      </c>
    </row>
    <row r="177" spans="1:11" x14ac:dyDescent="0.35">
      <c r="A177" s="10" t="s">
        <v>730</v>
      </c>
      <c r="B177" s="10" t="s">
        <v>234</v>
      </c>
      <c r="C177" s="10" t="s">
        <v>731</v>
      </c>
      <c r="D177" s="10" t="s">
        <v>1878</v>
      </c>
      <c r="E177" s="10" t="s">
        <v>1988</v>
      </c>
      <c r="F177" s="10" t="s">
        <v>1878</v>
      </c>
      <c r="G177" s="14">
        <v>45509</v>
      </c>
      <c r="H177">
        <v>2024</v>
      </c>
      <c r="I177" s="10" t="s">
        <v>1878</v>
      </c>
      <c r="J177" s="10" t="s">
        <v>29</v>
      </c>
      <c r="K177" s="15">
        <v>2698.26</v>
      </c>
    </row>
    <row r="178" spans="1:11" x14ac:dyDescent="0.35">
      <c r="A178" s="10" t="s">
        <v>734</v>
      </c>
      <c r="B178" s="10" t="s">
        <v>735</v>
      </c>
      <c r="C178" s="10" t="s">
        <v>736</v>
      </c>
      <c r="D178" s="10" t="s">
        <v>1878</v>
      </c>
      <c r="E178" s="10" t="s">
        <v>1989</v>
      </c>
      <c r="F178" s="10" t="s">
        <v>1878</v>
      </c>
      <c r="G178" s="17" t="s">
        <v>18</v>
      </c>
      <c r="I178" s="16" t="s">
        <v>18</v>
      </c>
      <c r="J178" s="10" t="s">
        <v>29</v>
      </c>
      <c r="K178" s="15">
        <v>90.34</v>
      </c>
    </row>
    <row r="179" spans="1:11" x14ac:dyDescent="0.35">
      <c r="A179" s="10" t="s">
        <v>738</v>
      </c>
      <c r="B179" s="10" t="s">
        <v>739</v>
      </c>
      <c r="C179" s="10" t="s">
        <v>740</v>
      </c>
      <c r="D179" s="10" t="s">
        <v>1878</v>
      </c>
      <c r="E179" s="10" t="s">
        <v>1990</v>
      </c>
      <c r="F179" s="10" t="s">
        <v>1878</v>
      </c>
      <c r="G179" s="14">
        <v>44693</v>
      </c>
      <c r="H179">
        <v>2022</v>
      </c>
      <c r="I179" s="10" t="s">
        <v>1878</v>
      </c>
      <c r="J179" s="10" t="s">
        <v>24</v>
      </c>
      <c r="K179" s="15">
        <v>4741.95</v>
      </c>
    </row>
    <row r="180" spans="1:11" x14ac:dyDescent="0.35">
      <c r="A180" s="10" t="s">
        <v>743</v>
      </c>
      <c r="B180" s="10" t="s">
        <v>445</v>
      </c>
      <c r="C180" s="10" t="s">
        <v>744</v>
      </c>
      <c r="D180" s="10" t="s">
        <v>1878</v>
      </c>
      <c r="E180" s="10" t="s">
        <v>18</v>
      </c>
      <c r="F180" s="16" t="s">
        <v>18</v>
      </c>
      <c r="G180" s="14">
        <v>45104</v>
      </c>
      <c r="H180">
        <v>2023</v>
      </c>
      <c r="I180" s="10" t="s">
        <v>1878</v>
      </c>
      <c r="J180" s="10" t="s">
        <v>29</v>
      </c>
      <c r="K180" s="15">
        <v>1690.01</v>
      </c>
    </row>
    <row r="181" spans="1:11" x14ac:dyDescent="0.35">
      <c r="A181" s="10" t="s">
        <v>746</v>
      </c>
      <c r="B181" s="10" t="s">
        <v>747</v>
      </c>
      <c r="C181" s="10" t="s">
        <v>748</v>
      </c>
      <c r="D181" s="10" t="s">
        <v>1878</v>
      </c>
      <c r="E181" s="10" t="s">
        <v>1991</v>
      </c>
      <c r="F181" s="10" t="s">
        <v>1878</v>
      </c>
      <c r="G181" s="17" t="s">
        <v>18</v>
      </c>
      <c r="I181" s="16" t="s">
        <v>18</v>
      </c>
      <c r="J181" s="10" t="s">
        <v>22</v>
      </c>
      <c r="K181" s="15">
        <v>1282.49</v>
      </c>
    </row>
    <row r="182" spans="1:11" x14ac:dyDescent="0.35">
      <c r="A182" s="10" t="s">
        <v>750</v>
      </c>
      <c r="B182" s="10" t="s">
        <v>597</v>
      </c>
      <c r="C182" s="10" t="s">
        <v>751</v>
      </c>
      <c r="D182" s="10" t="s">
        <v>1878</v>
      </c>
      <c r="E182" s="10" t="s">
        <v>1992</v>
      </c>
      <c r="F182" s="10" t="s">
        <v>1878</v>
      </c>
      <c r="G182" s="14">
        <v>44520</v>
      </c>
      <c r="H182">
        <v>2021</v>
      </c>
      <c r="I182" s="10" t="s">
        <v>1878</v>
      </c>
      <c r="J182" s="10" t="s">
        <v>29</v>
      </c>
      <c r="K182" s="15">
        <v>4075.73</v>
      </c>
    </row>
    <row r="183" spans="1:11" x14ac:dyDescent="0.35">
      <c r="A183" s="10" t="s">
        <v>754</v>
      </c>
      <c r="B183" s="10" t="s">
        <v>532</v>
      </c>
      <c r="C183" s="10" t="s">
        <v>755</v>
      </c>
      <c r="D183" s="10" t="s">
        <v>1878</v>
      </c>
      <c r="E183" s="10" t="s">
        <v>1993</v>
      </c>
      <c r="F183" s="10" t="s">
        <v>1878</v>
      </c>
      <c r="G183" s="14">
        <v>44886</v>
      </c>
      <c r="H183">
        <v>2022</v>
      </c>
      <c r="I183" s="10" t="s">
        <v>1878</v>
      </c>
      <c r="J183" s="10" t="s">
        <v>27</v>
      </c>
      <c r="K183" s="15">
        <v>2224.4</v>
      </c>
    </row>
    <row r="184" spans="1:11" x14ac:dyDescent="0.35">
      <c r="A184" s="10" t="s">
        <v>758</v>
      </c>
      <c r="B184" s="10" t="s">
        <v>735</v>
      </c>
      <c r="C184" s="10" t="s">
        <v>759</v>
      </c>
      <c r="D184" s="10" t="s">
        <v>1878</v>
      </c>
      <c r="E184" s="10" t="s">
        <v>1994</v>
      </c>
      <c r="F184" s="10" t="s">
        <v>1878</v>
      </c>
      <c r="G184" s="14">
        <v>44821</v>
      </c>
      <c r="H184">
        <v>2022</v>
      </c>
      <c r="I184" s="10" t="s">
        <v>1878</v>
      </c>
      <c r="J184" s="10" t="s">
        <v>26</v>
      </c>
      <c r="K184" s="15">
        <v>3240.47</v>
      </c>
    </row>
    <row r="185" spans="1:11" x14ac:dyDescent="0.35">
      <c r="A185" s="10" t="s">
        <v>762</v>
      </c>
      <c r="B185" s="10" t="s">
        <v>763</v>
      </c>
      <c r="C185" s="10" t="s">
        <v>764</v>
      </c>
      <c r="D185" s="10" t="s">
        <v>1878</v>
      </c>
      <c r="E185" s="10" t="s">
        <v>765</v>
      </c>
      <c r="F185" s="10" t="s">
        <v>1878</v>
      </c>
      <c r="G185" s="14">
        <v>43573</v>
      </c>
      <c r="H185">
        <v>2019</v>
      </c>
      <c r="I185" s="10" t="s">
        <v>1878</v>
      </c>
      <c r="J185" s="10" t="s">
        <v>26</v>
      </c>
      <c r="K185" s="15">
        <v>0</v>
      </c>
    </row>
    <row r="186" spans="1:11" x14ac:dyDescent="0.35">
      <c r="A186" s="10" t="s">
        <v>767</v>
      </c>
      <c r="B186" s="10" t="s">
        <v>75</v>
      </c>
      <c r="C186" s="10" t="s">
        <v>768</v>
      </c>
      <c r="D186" s="10" t="s">
        <v>1878</v>
      </c>
      <c r="E186" s="10" t="s">
        <v>1995</v>
      </c>
      <c r="F186" s="10" t="s">
        <v>1878</v>
      </c>
      <c r="G186" s="14">
        <v>44901</v>
      </c>
      <c r="H186">
        <v>2022</v>
      </c>
      <c r="I186" s="10" t="s">
        <v>1878</v>
      </c>
      <c r="J186" s="10" t="s">
        <v>27</v>
      </c>
      <c r="K186" s="15">
        <v>0</v>
      </c>
    </row>
    <row r="187" spans="1:11" x14ac:dyDescent="0.35">
      <c r="A187" s="10" t="s">
        <v>771</v>
      </c>
      <c r="B187" s="10" t="s">
        <v>772</v>
      </c>
      <c r="C187" s="10" t="s">
        <v>773</v>
      </c>
      <c r="D187" s="10" t="s">
        <v>1878</v>
      </c>
      <c r="E187" s="10" t="s">
        <v>1996</v>
      </c>
      <c r="F187" s="10" t="s">
        <v>1878</v>
      </c>
      <c r="G187" s="14">
        <v>44212</v>
      </c>
      <c r="H187">
        <v>2021</v>
      </c>
      <c r="I187" s="10" t="s">
        <v>1878</v>
      </c>
      <c r="J187" s="10" t="s">
        <v>29</v>
      </c>
      <c r="K187" s="15">
        <v>61.99</v>
      </c>
    </row>
    <row r="188" spans="1:11" x14ac:dyDescent="0.35">
      <c r="A188" s="10" t="s">
        <v>776</v>
      </c>
      <c r="B188" s="10" t="s">
        <v>777</v>
      </c>
      <c r="C188" s="10" t="s">
        <v>778</v>
      </c>
      <c r="D188" s="10" t="s">
        <v>1878</v>
      </c>
      <c r="E188" s="10" t="s">
        <v>18</v>
      </c>
      <c r="F188" s="16" t="s">
        <v>18</v>
      </c>
      <c r="G188" s="14">
        <v>44784</v>
      </c>
      <c r="H188">
        <v>2022</v>
      </c>
      <c r="I188" s="10" t="s">
        <v>1878</v>
      </c>
      <c r="J188" s="10" t="s">
        <v>28</v>
      </c>
      <c r="K188" s="15">
        <v>4632.66</v>
      </c>
    </row>
    <row r="189" spans="1:11" x14ac:dyDescent="0.35">
      <c r="A189" s="10" t="s">
        <v>780</v>
      </c>
      <c r="B189" s="10" t="s">
        <v>747</v>
      </c>
      <c r="C189" s="10" t="s">
        <v>781</v>
      </c>
      <c r="D189" s="10" t="s">
        <v>1878</v>
      </c>
      <c r="E189" s="10" t="s">
        <v>1997</v>
      </c>
      <c r="F189" s="10" t="s">
        <v>1878</v>
      </c>
      <c r="G189" s="14">
        <v>43809</v>
      </c>
      <c r="H189">
        <v>2019</v>
      </c>
      <c r="I189" s="10" t="s">
        <v>1878</v>
      </c>
      <c r="J189" s="10" t="s">
        <v>27</v>
      </c>
      <c r="K189" s="15">
        <v>337.65</v>
      </c>
    </row>
    <row r="190" spans="1:11" x14ac:dyDescent="0.35">
      <c r="A190" s="10" t="s">
        <v>784</v>
      </c>
      <c r="B190" s="10" t="s">
        <v>785</v>
      </c>
      <c r="C190" s="10" t="s">
        <v>786</v>
      </c>
      <c r="D190" s="10" t="s">
        <v>1878</v>
      </c>
      <c r="E190" s="10" t="s">
        <v>1998</v>
      </c>
      <c r="F190" s="10" t="s">
        <v>1878</v>
      </c>
      <c r="G190" s="14">
        <v>44346</v>
      </c>
      <c r="H190">
        <v>2021</v>
      </c>
      <c r="I190" s="10" t="s">
        <v>1878</v>
      </c>
      <c r="J190" s="10" t="s">
        <v>26</v>
      </c>
      <c r="K190" s="15">
        <v>2892.72</v>
      </c>
    </row>
    <row r="191" spans="1:11" x14ac:dyDescent="0.35">
      <c r="A191" s="10" t="s">
        <v>789</v>
      </c>
      <c r="B191" s="10" t="s">
        <v>790</v>
      </c>
      <c r="C191" s="10" t="s">
        <v>791</v>
      </c>
      <c r="D191" s="10" t="s">
        <v>1878</v>
      </c>
      <c r="E191" s="10" t="s">
        <v>1999</v>
      </c>
      <c r="F191" s="10" t="s">
        <v>1878</v>
      </c>
      <c r="G191" s="14">
        <v>45206</v>
      </c>
      <c r="H191">
        <v>2023</v>
      </c>
      <c r="I191" s="10" t="s">
        <v>1878</v>
      </c>
      <c r="J191" s="10" t="s">
        <v>29</v>
      </c>
      <c r="K191" s="15">
        <v>3522.29</v>
      </c>
    </row>
    <row r="192" spans="1:11" x14ac:dyDescent="0.35">
      <c r="A192" s="10" t="s">
        <v>794</v>
      </c>
      <c r="B192" s="10" t="s">
        <v>795</v>
      </c>
      <c r="C192" s="10" t="s">
        <v>796</v>
      </c>
      <c r="D192" s="10" t="s">
        <v>1878</v>
      </c>
      <c r="E192" s="10" t="s">
        <v>18</v>
      </c>
      <c r="F192" s="16" t="s">
        <v>18</v>
      </c>
      <c r="G192" s="14">
        <v>45231</v>
      </c>
      <c r="H192">
        <v>2023</v>
      </c>
      <c r="I192" s="10" t="s">
        <v>1878</v>
      </c>
      <c r="J192" s="10" t="s">
        <v>28</v>
      </c>
      <c r="K192" s="15">
        <v>0</v>
      </c>
    </row>
    <row r="193" spans="1:11" x14ac:dyDescent="0.35">
      <c r="A193" s="10" t="s">
        <v>798</v>
      </c>
      <c r="B193" s="10" t="s">
        <v>101</v>
      </c>
      <c r="C193" s="10" t="s">
        <v>18</v>
      </c>
      <c r="D193" s="16" t="s">
        <v>18</v>
      </c>
      <c r="E193" s="10" t="s">
        <v>18</v>
      </c>
      <c r="F193" s="16" t="s">
        <v>18</v>
      </c>
      <c r="G193" s="14">
        <v>44134</v>
      </c>
      <c r="H193">
        <v>2020</v>
      </c>
      <c r="I193" s="10" t="s">
        <v>1878</v>
      </c>
      <c r="J193" s="10" t="s">
        <v>27</v>
      </c>
      <c r="K193" s="15">
        <v>2123.5100000000002</v>
      </c>
    </row>
    <row r="194" spans="1:11" x14ac:dyDescent="0.35">
      <c r="A194" s="10" t="s">
        <v>800</v>
      </c>
      <c r="B194" s="10" t="s">
        <v>739</v>
      </c>
      <c r="C194" s="10" t="s">
        <v>801</v>
      </c>
      <c r="D194" s="10" t="s">
        <v>1878</v>
      </c>
      <c r="E194" s="10" t="s">
        <v>18</v>
      </c>
      <c r="F194" s="16" t="s">
        <v>18</v>
      </c>
      <c r="G194" s="14">
        <v>44395</v>
      </c>
      <c r="H194">
        <v>2021</v>
      </c>
      <c r="I194" s="10" t="s">
        <v>1878</v>
      </c>
      <c r="J194" s="10" t="s">
        <v>20</v>
      </c>
      <c r="K194" s="15">
        <v>1464.73</v>
      </c>
    </row>
    <row r="195" spans="1:11" x14ac:dyDescent="0.35">
      <c r="A195" s="10" t="s">
        <v>803</v>
      </c>
      <c r="B195" s="10" t="s">
        <v>804</v>
      </c>
      <c r="C195" s="10" t="s">
        <v>805</v>
      </c>
      <c r="D195" s="10" t="s">
        <v>1878</v>
      </c>
      <c r="E195" s="10" t="s">
        <v>2000</v>
      </c>
      <c r="F195" s="10" t="s">
        <v>1878</v>
      </c>
      <c r="G195" s="14">
        <v>44865</v>
      </c>
      <c r="H195">
        <v>2022</v>
      </c>
      <c r="I195" s="10" t="s">
        <v>1878</v>
      </c>
      <c r="J195" s="10" t="s">
        <v>29</v>
      </c>
      <c r="K195" s="15">
        <v>4759.45</v>
      </c>
    </row>
    <row r="196" spans="1:11" x14ac:dyDescent="0.35">
      <c r="A196" s="10" t="s">
        <v>808</v>
      </c>
      <c r="B196" s="10" t="s">
        <v>532</v>
      </c>
      <c r="C196" s="10" t="s">
        <v>809</v>
      </c>
      <c r="D196" s="10" t="s">
        <v>1878</v>
      </c>
      <c r="E196" s="10" t="s">
        <v>2001</v>
      </c>
      <c r="F196" s="10" t="s">
        <v>1878</v>
      </c>
      <c r="G196" s="14">
        <v>44200</v>
      </c>
      <c r="H196">
        <v>2021</v>
      </c>
      <c r="I196" s="10" t="s">
        <v>1878</v>
      </c>
      <c r="J196" s="10" t="s">
        <v>26</v>
      </c>
      <c r="K196" s="15">
        <v>1449</v>
      </c>
    </row>
    <row r="197" spans="1:11" x14ac:dyDescent="0.35">
      <c r="A197" s="10" t="s">
        <v>812</v>
      </c>
      <c r="B197" s="10" t="s">
        <v>368</v>
      </c>
      <c r="C197" s="10" t="s">
        <v>813</v>
      </c>
      <c r="D197" s="10" t="s">
        <v>1878</v>
      </c>
      <c r="E197" s="10" t="s">
        <v>2002</v>
      </c>
      <c r="F197" s="10" t="s">
        <v>1878</v>
      </c>
      <c r="G197" s="14">
        <v>43745</v>
      </c>
      <c r="H197">
        <v>2019</v>
      </c>
      <c r="I197" s="10" t="s">
        <v>1878</v>
      </c>
      <c r="J197" s="10" t="s">
        <v>28</v>
      </c>
      <c r="K197" s="15">
        <v>418.92</v>
      </c>
    </row>
    <row r="198" spans="1:11" x14ac:dyDescent="0.35">
      <c r="A198" s="10" t="s">
        <v>816</v>
      </c>
      <c r="B198" s="10" t="s">
        <v>817</v>
      </c>
      <c r="C198" s="10" t="s">
        <v>818</v>
      </c>
      <c r="D198" s="10" t="s">
        <v>1878</v>
      </c>
      <c r="E198" s="10" t="s">
        <v>2003</v>
      </c>
      <c r="F198" s="10" t="s">
        <v>1878</v>
      </c>
      <c r="G198" s="14">
        <v>45117</v>
      </c>
      <c r="H198">
        <v>2023</v>
      </c>
      <c r="I198" s="10" t="s">
        <v>1878</v>
      </c>
      <c r="J198" s="10" t="s">
        <v>22</v>
      </c>
      <c r="K198" s="15">
        <v>4121.95</v>
      </c>
    </row>
    <row r="199" spans="1:11" x14ac:dyDescent="0.35">
      <c r="A199" s="10" t="s">
        <v>821</v>
      </c>
      <c r="B199" s="10" t="s">
        <v>822</v>
      </c>
      <c r="C199" s="10" t="s">
        <v>823</v>
      </c>
      <c r="D199" s="10" t="s">
        <v>1878</v>
      </c>
      <c r="E199" s="10" t="s">
        <v>2004</v>
      </c>
      <c r="F199" s="10" t="s">
        <v>1878</v>
      </c>
      <c r="G199" s="17" t="s">
        <v>18</v>
      </c>
      <c r="I199" s="16" t="s">
        <v>18</v>
      </c>
      <c r="J199" s="10" t="s">
        <v>26</v>
      </c>
      <c r="K199" s="15">
        <v>3995</v>
      </c>
    </row>
    <row r="200" spans="1:11" x14ac:dyDescent="0.35">
      <c r="A200" s="10" t="s">
        <v>825</v>
      </c>
      <c r="B200" s="10" t="s">
        <v>58</v>
      </c>
      <c r="C200" s="10" t="s">
        <v>826</v>
      </c>
      <c r="D200" s="10" t="s">
        <v>1878</v>
      </c>
      <c r="E200" s="10" t="s">
        <v>2005</v>
      </c>
      <c r="F200" s="10" t="s">
        <v>1878</v>
      </c>
      <c r="G200" s="14">
        <v>43756</v>
      </c>
      <c r="H200">
        <v>2019</v>
      </c>
      <c r="I200" s="10" t="s">
        <v>1878</v>
      </c>
      <c r="J200" s="10" t="s">
        <v>29</v>
      </c>
      <c r="K200" s="15">
        <v>512.27</v>
      </c>
    </row>
    <row r="201" spans="1:11" x14ac:dyDescent="0.35">
      <c r="A201" s="10" t="s">
        <v>829</v>
      </c>
      <c r="B201" s="10" t="s">
        <v>101</v>
      </c>
      <c r="C201" s="10" t="s">
        <v>830</v>
      </c>
      <c r="D201" s="10" t="s">
        <v>1878</v>
      </c>
      <c r="E201" s="10" t="s">
        <v>2006</v>
      </c>
      <c r="F201" s="10" t="s">
        <v>1878</v>
      </c>
      <c r="G201" s="17" t="s">
        <v>18</v>
      </c>
      <c r="I201" s="16" t="s">
        <v>18</v>
      </c>
      <c r="J201" s="10" t="s">
        <v>29</v>
      </c>
      <c r="K201" s="15">
        <v>1958</v>
      </c>
    </row>
    <row r="202" spans="1:11" x14ac:dyDescent="0.35">
      <c r="A202" s="10" t="s">
        <v>832</v>
      </c>
      <c r="B202" s="10" t="s">
        <v>234</v>
      </c>
      <c r="C202" s="10" t="s">
        <v>833</v>
      </c>
      <c r="D202" s="10" t="s">
        <v>1878</v>
      </c>
      <c r="E202" s="10" t="s">
        <v>834</v>
      </c>
      <c r="F202" s="10" t="s">
        <v>1878</v>
      </c>
      <c r="G202" s="17" t="s">
        <v>18</v>
      </c>
      <c r="I202" s="16" t="s">
        <v>18</v>
      </c>
      <c r="J202" s="10" t="s">
        <v>22</v>
      </c>
      <c r="K202" s="15">
        <v>-3522</v>
      </c>
    </row>
    <row r="203" spans="1:11" x14ac:dyDescent="0.35">
      <c r="A203" s="10" t="s">
        <v>835</v>
      </c>
      <c r="B203" s="10" t="s">
        <v>836</v>
      </c>
      <c r="C203" s="10" t="s">
        <v>837</v>
      </c>
      <c r="D203" s="10" t="s">
        <v>1878</v>
      </c>
      <c r="E203" s="10" t="s">
        <v>2007</v>
      </c>
      <c r="F203" s="10" t="s">
        <v>1878</v>
      </c>
      <c r="G203" s="14">
        <v>43507</v>
      </c>
      <c r="H203">
        <v>2019</v>
      </c>
      <c r="I203" s="10" t="s">
        <v>1878</v>
      </c>
      <c r="J203" s="10" t="s">
        <v>29</v>
      </c>
      <c r="K203" s="15">
        <v>3694.07</v>
      </c>
    </row>
    <row r="204" spans="1:11" x14ac:dyDescent="0.35">
      <c r="A204" s="10" t="s">
        <v>840</v>
      </c>
      <c r="B204" s="10" t="s">
        <v>58</v>
      </c>
      <c r="C204" s="10" t="s">
        <v>2008</v>
      </c>
      <c r="D204" s="10" t="s">
        <v>1878</v>
      </c>
      <c r="E204" s="10" t="s">
        <v>2009</v>
      </c>
      <c r="F204" s="10" t="s">
        <v>1878</v>
      </c>
      <c r="G204" s="17" t="s">
        <v>18</v>
      </c>
      <c r="I204" s="16" t="s">
        <v>18</v>
      </c>
      <c r="J204" s="10" t="s">
        <v>26</v>
      </c>
      <c r="K204" s="15">
        <v>2825.09</v>
      </c>
    </row>
    <row r="205" spans="1:11" x14ac:dyDescent="0.35">
      <c r="A205" s="10" t="s">
        <v>843</v>
      </c>
      <c r="B205" s="10" t="s">
        <v>101</v>
      </c>
      <c r="C205" s="10" t="s">
        <v>844</v>
      </c>
      <c r="D205" s="10" t="s">
        <v>1878</v>
      </c>
      <c r="E205" s="10" t="s">
        <v>2010</v>
      </c>
      <c r="F205" s="10" t="s">
        <v>1878</v>
      </c>
      <c r="G205" s="14">
        <v>44797</v>
      </c>
      <c r="H205">
        <v>2022</v>
      </c>
      <c r="I205" s="10" t="s">
        <v>1878</v>
      </c>
      <c r="J205" s="10" t="s">
        <v>28</v>
      </c>
      <c r="K205" s="15">
        <v>2301.8200000000002</v>
      </c>
    </row>
    <row r="206" spans="1:11" x14ac:dyDescent="0.35">
      <c r="A206" s="10" t="s">
        <v>847</v>
      </c>
      <c r="B206" s="10" t="s">
        <v>848</v>
      </c>
      <c r="C206" s="10" t="s">
        <v>2011</v>
      </c>
      <c r="D206" s="10" t="s">
        <v>1878</v>
      </c>
      <c r="E206" s="10" t="s">
        <v>18</v>
      </c>
      <c r="F206" s="16" t="s">
        <v>18</v>
      </c>
      <c r="G206" s="14">
        <v>44679</v>
      </c>
      <c r="H206">
        <v>2022</v>
      </c>
      <c r="I206" s="10" t="s">
        <v>1878</v>
      </c>
      <c r="J206" s="10" t="s">
        <v>28</v>
      </c>
      <c r="K206" s="15">
        <v>3046.38</v>
      </c>
    </row>
    <row r="207" spans="1:11" x14ac:dyDescent="0.35">
      <c r="A207" s="10" t="s">
        <v>851</v>
      </c>
      <c r="B207" s="10" t="s">
        <v>450</v>
      </c>
      <c r="C207" s="10" t="s">
        <v>852</v>
      </c>
      <c r="D207" s="10" t="s">
        <v>1878</v>
      </c>
      <c r="E207" s="10" t="s">
        <v>18</v>
      </c>
      <c r="F207" s="16" t="s">
        <v>18</v>
      </c>
      <c r="G207" s="14">
        <v>45078</v>
      </c>
      <c r="H207">
        <v>2023</v>
      </c>
      <c r="I207" s="10" t="s">
        <v>1878</v>
      </c>
      <c r="J207" s="10" t="s">
        <v>24</v>
      </c>
      <c r="K207" s="15">
        <v>690.04</v>
      </c>
    </row>
    <row r="208" spans="1:11" x14ac:dyDescent="0.35">
      <c r="A208" s="10" t="s">
        <v>854</v>
      </c>
      <c r="B208" s="10" t="s">
        <v>364</v>
      </c>
      <c r="C208" s="10" t="s">
        <v>855</v>
      </c>
      <c r="D208" s="10" t="s">
        <v>1878</v>
      </c>
      <c r="E208" s="10" t="s">
        <v>856</v>
      </c>
      <c r="F208" s="10" t="s">
        <v>1878</v>
      </c>
      <c r="G208" s="14">
        <v>44983</v>
      </c>
      <c r="H208">
        <v>2023</v>
      </c>
      <c r="I208" s="10" t="s">
        <v>1878</v>
      </c>
      <c r="J208" s="10" t="s">
        <v>29</v>
      </c>
      <c r="K208" s="15">
        <v>3705.45</v>
      </c>
    </row>
    <row r="209" spans="1:11" x14ac:dyDescent="0.35">
      <c r="A209" s="10" t="s">
        <v>858</v>
      </c>
      <c r="B209" s="10" t="s">
        <v>859</v>
      </c>
      <c r="C209" s="10" t="s">
        <v>860</v>
      </c>
      <c r="D209" s="10" t="s">
        <v>1878</v>
      </c>
      <c r="E209" s="10" t="s">
        <v>2012</v>
      </c>
      <c r="F209" s="10" t="s">
        <v>1878</v>
      </c>
      <c r="G209" s="17" t="s">
        <v>18</v>
      </c>
      <c r="I209" s="16" t="s">
        <v>18</v>
      </c>
      <c r="J209" s="10" t="s">
        <v>26</v>
      </c>
      <c r="K209" s="15">
        <v>132.53</v>
      </c>
    </row>
    <row r="210" spans="1:11" x14ac:dyDescent="0.35">
      <c r="A210" s="10" t="s">
        <v>862</v>
      </c>
      <c r="B210" s="10" t="s">
        <v>863</v>
      </c>
      <c r="C210" s="10" t="s">
        <v>864</v>
      </c>
      <c r="D210" s="10" t="s">
        <v>1878</v>
      </c>
      <c r="E210" s="10" t="s">
        <v>2013</v>
      </c>
      <c r="F210" s="10" t="s">
        <v>1878</v>
      </c>
      <c r="G210" s="17" t="s">
        <v>18</v>
      </c>
      <c r="I210" s="16" t="s">
        <v>18</v>
      </c>
      <c r="J210" s="10" t="s">
        <v>29</v>
      </c>
      <c r="K210" s="15">
        <v>1835.79</v>
      </c>
    </row>
    <row r="211" spans="1:11" x14ac:dyDescent="0.35">
      <c r="A211" s="10" t="s">
        <v>866</v>
      </c>
      <c r="B211" s="10" t="s">
        <v>867</v>
      </c>
      <c r="C211" s="10" t="s">
        <v>18</v>
      </c>
      <c r="D211" s="16" t="s">
        <v>18</v>
      </c>
      <c r="E211" s="10" t="s">
        <v>868</v>
      </c>
      <c r="F211" s="10" t="s">
        <v>1878</v>
      </c>
      <c r="G211" s="14">
        <v>45384</v>
      </c>
      <c r="H211">
        <v>2024</v>
      </c>
      <c r="I211" s="10" t="s">
        <v>1878</v>
      </c>
      <c r="J211" s="10" t="s">
        <v>28</v>
      </c>
      <c r="K211" s="15">
        <v>2358.0500000000002</v>
      </c>
    </row>
    <row r="212" spans="1:11" x14ac:dyDescent="0.35">
      <c r="A212" s="10" t="s">
        <v>870</v>
      </c>
      <c r="B212" s="10" t="s">
        <v>105</v>
      </c>
      <c r="C212" s="10" t="s">
        <v>18</v>
      </c>
      <c r="D212" s="16" t="s">
        <v>18</v>
      </c>
      <c r="E212" s="10" t="s">
        <v>18</v>
      </c>
      <c r="F212" s="16" t="s">
        <v>18</v>
      </c>
      <c r="G212" s="17" t="s">
        <v>18</v>
      </c>
      <c r="I212" s="16" t="s">
        <v>18</v>
      </c>
      <c r="J212" s="10" t="s">
        <v>26</v>
      </c>
      <c r="K212" s="15">
        <v>3616.71</v>
      </c>
    </row>
    <row r="213" spans="1:11" x14ac:dyDescent="0.35">
      <c r="A213" s="10" t="s">
        <v>871</v>
      </c>
      <c r="B213" s="10" t="s">
        <v>872</v>
      </c>
      <c r="C213" s="10" t="s">
        <v>873</v>
      </c>
      <c r="D213" s="10" t="s">
        <v>1878</v>
      </c>
      <c r="E213" s="10" t="s">
        <v>18</v>
      </c>
      <c r="F213" s="16" t="s">
        <v>18</v>
      </c>
      <c r="G213" s="14">
        <v>44430</v>
      </c>
      <c r="H213">
        <v>2021</v>
      </c>
      <c r="I213" s="10" t="s">
        <v>1878</v>
      </c>
      <c r="J213" s="10" t="s">
        <v>27</v>
      </c>
      <c r="K213" s="15">
        <v>3321.74</v>
      </c>
    </row>
    <row r="214" spans="1:11" x14ac:dyDescent="0.35">
      <c r="A214" s="10" t="s">
        <v>875</v>
      </c>
      <c r="B214" s="10" t="s">
        <v>136</v>
      </c>
      <c r="C214" s="10" t="s">
        <v>876</v>
      </c>
      <c r="D214" s="10" t="s">
        <v>1878</v>
      </c>
      <c r="E214" s="10" t="s">
        <v>2014</v>
      </c>
      <c r="F214" s="10" t="s">
        <v>1878</v>
      </c>
      <c r="G214" s="14">
        <v>45115</v>
      </c>
      <c r="H214">
        <v>2023</v>
      </c>
      <c r="I214" s="10" t="s">
        <v>1878</v>
      </c>
      <c r="J214" s="10" t="s">
        <v>28</v>
      </c>
      <c r="K214" s="15">
        <v>3657.91</v>
      </c>
    </row>
    <row r="215" spans="1:11" x14ac:dyDescent="0.35">
      <c r="A215" s="10" t="s">
        <v>879</v>
      </c>
      <c r="B215" s="10" t="s">
        <v>303</v>
      </c>
      <c r="C215" s="10" t="s">
        <v>880</v>
      </c>
      <c r="D215" s="10" t="s">
        <v>1878</v>
      </c>
      <c r="E215" s="10" t="s">
        <v>2015</v>
      </c>
      <c r="F215" s="10" t="s">
        <v>1878</v>
      </c>
      <c r="G215" s="14">
        <v>45153</v>
      </c>
      <c r="H215">
        <v>2023</v>
      </c>
      <c r="I215" s="10" t="s">
        <v>1878</v>
      </c>
      <c r="J215" s="10" t="s">
        <v>26</v>
      </c>
      <c r="K215" s="15">
        <v>4047.93</v>
      </c>
    </row>
    <row r="216" spans="1:11" x14ac:dyDescent="0.35">
      <c r="A216" s="10" t="s">
        <v>883</v>
      </c>
      <c r="B216" s="10" t="s">
        <v>67</v>
      </c>
      <c r="C216" s="10" t="s">
        <v>884</v>
      </c>
      <c r="D216" s="10" t="s">
        <v>1878</v>
      </c>
      <c r="E216" s="10" t="s">
        <v>18</v>
      </c>
      <c r="F216" s="16" t="s">
        <v>18</v>
      </c>
      <c r="G216" s="14">
        <v>45416</v>
      </c>
      <c r="H216">
        <v>2024</v>
      </c>
      <c r="I216" s="10" t="s">
        <v>1878</v>
      </c>
      <c r="J216" s="10" t="s">
        <v>27</v>
      </c>
      <c r="K216" s="15">
        <v>2576.1999999999998</v>
      </c>
    </row>
    <row r="217" spans="1:11" x14ac:dyDescent="0.35">
      <c r="A217" s="10" t="s">
        <v>886</v>
      </c>
      <c r="B217" s="10" t="s">
        <v>887</v>
      </c>
      <c r="C217" s="10" t="s">
        <v>888</v>
      </c>
      <c r="D217" s="10" t="s">
        <v>1878</v>
      </c>
      <c r="E217" s="10" t="s">
        <v>2016</v>
      </c>
      <c r="F217" s="10" t="s">
        <v>1878</v>
      </c>
      <c r="G217" s="14">
        <v>43881</v>
      </c>
      <c r="H217">
        <v>2020</v>
      </c>
      <c r="I217" s="10" t="s">
        <v>1878</v>
      </c>
      <c r="J217" s="10" t="s">
        <v>28</v>
      </c>
      <c r="K217" s="15">
        <v>0</v>
      </c>
    </row>
    <row r="218" spans="1:11" x14ac:dyDescent="0.35">
      <c r="A218" s="10" t="s">
        <v>891</v>
      </c>
      <c r="B218" s="10" t="s">
        <v>364</v>
      </c>
      <c r="C218" s="10" t="s">
        <v>892</v>
      </c>
      <c r="D218" s="10" t="s">
        <v>1878</v>
      </c>
      <c r="E218" s="10" t="s">
        <v>2017</v>
      </c>
      <c r="F218" s="10" t="s">
        <v>1878</v>
      </c>
      <c r="G218" s="14">
        <v>45079</v>
      </c>
      <c r="H218">
        <v>2023</v>
      </c>
      <c r="I218" s="10" t="s">
        <v>1878</v>
      </c>
      <c r="J218" s="10" t="s">
        <v>28</v>
      </c>
      <c r="K218" s="15">
        <v>4484.45</v>
      </c>
    </row>
    <row r="219" spans="1:11" x14ac:dyDescent="0.35">
      <c r="A219" s="10" t="s">
        <v>895</v>
      </c>
      <c r="B219" s="10" t="s">
        <v>499</v>
      </c>
      <c r="C219" s="10" t="s">
        <v>896</v>
      </c>
      <c r="D219" s="10" t="s">
        <v>1878</v>
      </c>
      <c r="E219" s="10" t="s">
        <v>18</v>
      </c>
      <c r="F219" s="16" t="s">
        <v>18</v>
      </c>
      <c r="G219" s="14">
        <v>43502</v>
      </c>
      <c r="H219">
        <v>2019</v>
      </c>
      <c r="I219" s="10" t="s">
        <v>1878</v>
      </c>
      <c r="J219" s="10" t="s">
        <v>20</v>
      </c>
      <c r="K219" s="15">
        <v>853.87</v>
      </c>
    </row>
    <row r="220" spans="1:11" x14ac:dyDescent="0.35">
      <c r="A220" s="10" t="s">
        <v>897</v>
      </c>
      <c r="B220" s="10" t="s">
        <v>898</v>
      </c>
      <c r="C220" s="10" t="s">
        <v>899</v>
      </c>
      <c r="D220" s="10" t="s">
        <v>1878</v>
      </c>
      <c r="E220" s="10" t="s">
        <v>2018</v>
      </c>
      <c r="F220" s="10" t="s">
        <v>1878</v>
      </c>
      <c r="G220" s="14">
        <v>44152</v>
      </c>
      <c r="H220">
        <v>2020</v>
      </c>
      <c r="I220" s="10" t="s">
        <v>1878</v>
      </c>
      <c r="J220" s="10" t="s">
        <v>29</v>
      </c>
      <c r="K220" s="15">
        <v>1902.13</v>
      </c>
    </row>
    <row r="221" spans="1:11" x14ac:dyDescent="0.35">
      <c r="A221" s="10" t="s">
        <v>902</v>
      </c>
      <c r="B221" s="10" t="s">
        <v>903</v>
      </c>
      <c r="C221" s="10" t="s">
        <v>904</v>
      </c>
      <c r="D221" s="10" t="s">
        <v>1878</v>
      </c>
      <c r="E221" s="10" t="s">
        <v>905</v>
      </c>
      <c r="F221" s="10" t="s">
        <v>1878</v>
      </c>
      <c r="G221" s="17" t="s">
        <v>18</v>
      </c>
      <c r="I221" s="16" t="s">
        <v>18</v>
      </c>
      <c r="J221" s="10" t="s">
        <v>26</v>
      </c>
      <c r="K221" s="15">
        <v>2178.65</v>
      </c>
    </row>
    <row r="222" spans="1:11" x14ac:dyDescent="0.35">
      <c r="A222" s="10" t="s">
        <v>906</v>
      </c>
      <c r="B222" s="10" t="s">
        <v>191</v>
      </c>
      <c r="C222" s="10" t="s">
        <v>907</v>
      </c>
      <c r="D222" s="10" t="s">
        <v>1878</v>
      </c>
      <c r="E222" s="10" t="s">
        <v>2019</v>
      </c>
      <c r="F222" s="10" t="s">
        <v>1878</v>
      </c>
      <c r="G222" s="17" t="s">
        <v>18</v>
      </c>
      <c r="I222" s="16" t="s">
        <v>18</v>
      </c>
      <c r="J222" s="10" t="s">
        <v>20</v>
      </c>
      <c r="K222" s="15">
        <v>1891.14</v>
      </c>
    </row>
    <row r="223" spans="1:11" x14ac:dyDescent="0.35">
      <c r="A223" s="10" t="s">
        <v>909</v>
      </c>
      <c r="B223" s="10" t="s">
        <v>110</v>
      </c>
      <c r="C223" s="10" t="s">
        <v>910</v>
      </c>
      <c r="D223" s="10" t="s">
        <v>1878</v>
      </c>
      <c r="E223" s="10" t="s">
        <v>18</v>
      </c>
      <c r="F223" s="16" t="s">
        <v>18</v>
      </c>
      <c r="G223" s="14">
        <v>44984</v>
      </c>
      <c r="H223">
        <v>2023</v>
      </c>
      <c r="I223" s="10" t="s">
        <v>1878</v>
      </c>
      <c r="J223" s="10" t="s">
        <v>28</v>
      </c>
      <c r="K223" s="15">
        <v>719.55</v>
      </c>
    </row>
    <row r="224" spans="1:11" x14ac:dyDescent="0.35">
      <c r="A224" s="10" t="s">
        <v>912</v>
      </c>
      <c r="B224" s="10" t="s">
        <v>393</v>
      </c>
      <c r="C224" s="10" t="s">
        <v>913</v>
      </c>
      <c r="D224" s="10" t="s">
        <v>1878</v>
      </c>
      <c r="E224" s="10" t="s">
        <v>18</v>
      </c>
      <c r="F224" s="16" t="s">
        <v>18</v>
      </c>
      <c r="G224" s="17" t="s">
        <v>18</v>
      </c>
      <c r="I224" s="16" t="s">
        <v>18</v>
      </c>
      <c r="J224" s="10" t="s">
        <v>26</v>
      </c>
      <c r="K224" s="15">
        <v>-3023</v>
      </c>
    </row>
    <row r="225" spans="1:11" x14ac:dyDescent="0.35">
      <c r="A225" s="10" t="s">
        <v>914</v>
      </c>
      <c r="B225" s="10" t="s">
        <v>150</v>
      </c>
      <c r="C225" s="10" t="s">
        <v>915</v>
      </c>
      <c r="D225" s="10" t="s">
        <v>1878</v>
      </c>
      <c r="E225" s="10" t="s">
        <v>2020</v>
      </c>
      <c r="F225" s="10" t="s">
        <v>1878</v>
      </c>
      <c r="G225" s="14">
        <v>45003</v>
      </c>
      <c r="H225">
        <v>2023</v>
      </c>
      <c r="I225" s="10" t="s">
        <v>1878</v>
      </c>
      <c r="J225" s="10" t="s">
        <v>22</v>
      </c>
      <c r="K225" s="15">
        <v>937.8</v>
      </c>
    </row>
    <row r="226" spans="1:11" x14ac:dyDescent="0.35">
      <c r="A226" s="10" t="s">
        <v>918</v>
      </c>
      <c r="B226" s="10" t="s">
        <v>919</v>
      </c>
      <c r="C226" s="10" t="s">
        <v>920</v>
      </c>
      <c r="D226" s="10" t="s">
        <v>1878</v>
      </c>
      <c r="E226" s="10" t="s">
        <v>2021</v>
      </c>
      <c r="F226" s="10" t="s">
        <v>1878</v>
      </c>
      <c r="G226" s="14">
        <v>43643</v>
      </c>
      <c r="H226">
        <v>2019</v>
      </c>
      <c r="I226" s="10" t="s">
        <v>1878</v>
      </c>
      <c r="J226" s="10" t="s">
        <v>22</v>
      </c>
      <c r="K226" s="15">
        <v>1275.22</v>
      </c>
    </row>
    <row r="227" spans="1:11" x14ac:dyDescent="0.35">
      <c r="A227" s="10" t="s">
        <v>923</v>
      </c>
      <c r="B227" s="10" t="s">
        <v>234</v>
      </c>
      <c r="C227" s="10" t="s">
        <v>924</v>
      </c>
      <c r="D227" s="10" t="s">
        <v>1878</v>
      </c>
      <c r="E227" s="10" t="s">
        <v>2022</v>
      </c>
      <c r="F227" s="10" t="s">
        <v>1878</v>
      </c>
      <c r="G227" s="17" t="s">
        <v>18</v>
      </c>
      <c r="I227" s="16" t="s">
        <v>18</v>
      </c>
      <c r="J227" s="10" t="s">
        <v>28</v>
      </c>
      <c r="K227" s="15">
        <v>1726.99</v>
      </c>
    </row>
    <row r="228" spans="1:11" x14ac:dyDescent="0.35">
      <c r="A228" s="10" t="s">
        <v>252</v>
      </c>
      <c r="B228" s="10" t="s">
        <v>253</v>
      </c>
      <c r="C228" s="10" t="s">
        <v>18</v>
      </c>
      <c r="D228" s="16" t="s">
        <v>18</v>
      </c>
      <c r="E228" s="10" t="s">
        <v>254</v>
      </c>
      <c r="F228" s="10" t="s">
        <v>1878</v>
      </c>
      <c r="G228" s="14">
        <v>44928</v>
      </c>
      <c r="H228">
        <v>2023</v>
      </c>
      <c r="I228" s="10" t="s">
        <v>1878</v>
      </c>
      <c r="J228" s="10" t="s">
        <v>22</v>
      </c>
      <c r="K228" s="15">
        <v>2991.92</v>
      </c>
    </row>
    <row r="229" spans="1:11" x14ac:dyDescent="0.35">
      <c r="A229" s="10" t="s">
        <v>926</v>
      </c>
      <c r="B229" s="10" t="s">
        <v>927</v>
      </c>
      <c r="C229" s="10" t="s">
        <v>928</v>
      </c>
      <c r="D229" s="10" t="s">
        <v>1878</v>
      </c>
      <c r="E229" s="10" t="s">
        <v>2023</v>
      </c>
      <c r="F229" s="10" t="s">
        <v>1878</v>
      </c>
      <c r="G229" s="14">
        <v>44775</v>
      </c>
      <c r="H229">
        <v>2022</v>
      </c>
      <c r="I229" s="10" t="s">
        <v>1878</v>
      </c>
      <c r="J229" s="10" t="s">
        <v>29</v>
      </c>
      <c r="K229" s="15">
        <v>944</v>
      </c>
    </row>
    <row r="230" spans="1:11" x14ac:dyDescent="0.35">
      <c r="A230" s="10" t="s">
        <v>931</v>
      </c>
      <c r="B230" s="10" t="s">
        <v>257</v>
      </c>
      <c r="C230" s="10" t="s">
        <v>932</v>
      </c>
      <c r="D230" s="10" t="s">
        <v>1878</v>
      </c>
      <c r="E230" s="10" t="s">
        <v>933</v>
      </c>
      <c r="F230" s="10" t="s">
        <v>1878</v>
      </c>
      <c r="G230" s="14">
        <v>44721</v>
      </c>
      <c r="H230">
        <v>2022</v>
      </c>
      <c r="I230" s="10" t="s">
        <v>1878</v>
      </c>
      <c r="J230" s="10" t="s">
        <v>22</v>
      </c>
      <c r="K230" s="15">
        <v>2212.23</v>
      </c>
    </row>
    <row r="231" spans="1:11" x14ac:dyDescent="0.35">
      <c r="A231" s="10" t="s">
        <v>233</v>
      </c>
      <c r="B231" s="10" t="s">
        <v>234</v>
      </c>
      <c r="C231" s="10" t="s">
        <v>235</v>
      </c>
      <c r="D231" s="10" t="s">
        <v>1878</v>
      </c>
      <c r="E231" s="10" t="s">
        <v>1910</v>
      </c>
      <c r="F231" s="10" t="s">
        <v>1878</v>
      </c>
      <c r="G231" s="14">
        <v>45060</v>
      </c>
      <c r="H231">
        <v>2023</v>
      </c>
      <c r="I231" s="10" t="s">
        <v>1878</v>
      </c>
      <c r="J231" s="10" t="s">
        <v>27</v>
      </c>
      <c r="K231" s="15">
        <v>4001.19</v>
      </c>
    </row>
    <row r="232" spans="1:11" x14ac:dyDescent="0.35">
      <c r="A232" s="10" t="s">
        <v>935</v>
      </c>
      <c r="B232" s="10" t="s">
        <v>308</v>
      </c>
      <c r="C232" s="10" t="s">
        <v>936</v>
      </c>
      <c r="D232" s="10" t="s">
        <v>1878</v>
      </c>
      <c r="E232" s="10" t="s">
        <v>2024</v>
      </c>
      <c r="F232" s="10" t="s">
        <v>1878</v>
      </c>
      <c r="G232" s="14">
        <v>44178</v>
      </c>
      <c r="H232">
        <v>2020</v>
      </c>
      <c r="I232" s="10" t="s">
        <v>1878</v>
      </c>
      <c r="J232" s="10" t="s">
        <v>28</v>
      </c>
      <c r="K232" s="15">
        <v>2310.91</v>
      </c>
    </row>
    <row r="233" spans="1:11" x14ac:dyDescent="0.35">
      <c r="A233" s="10" t="s">
        <v>939</v>
      </c>
      <c r="B233" s="10" t="s">
        <v>70</v>
      </c>
      <c r="C233" s="10" t="s">
        <v>940</v>
      </c>
      <c r="D233" s="10" t="s">
        <v>1878</v>
      </c>
      <c r="E233" s="10" t="s">
        <v>18</v>
      </c>
      <c r="F233" s="16" t="s">
        <v>18</v>
      </c>
      <c r="G233" s="14">
        <v>43469</v>
      </c>
      <c r="H233">
        <v>2019</v>
      </c>
      <c r="I233" s="10" t="s">
        <v>1878</v>
      </c>
      <c r="J233" s="10" t="s">
        <v>29</v>
      </c>
      <c r="K233" s="15">
        <v>2321.9299999999998</v>
      </c>
    </row>
    <row r="234" spans="1:11" x14ac:dyDescent="0.35">
      <c r="A234" s="10" t="s">
        <v>942</v>
      </c>
      <c r="B234" s="10" t="s">
        <v>393</v>
      </c>
      <c r="C234" s="10" t="s">
        <v>943</v>
      </c>
      <c r="D234" s="10" t="s">
        <v>1878</v>
      </c>
      <c r="E234" s="10" t="s">
        <v>944</v>
      </c>
      <c r="F234" s="10" t="s">
        <v>1878</v>
      </c>
      <c r="G234" s="14">
        <v>44513</v>
      </c>
      <c r="H234">
        <v>2021</v>
      </c>
      <c r="I234" s="10" t="s">
        <v>1878</v>
      </c>
      <c r="J234" s="10" t="s">
        <v>29</v>
      </c>
      <c r="K234" s="15">
        <v>3822.19</v>
      </c>
    </row>
    <row r="235" spans="1:11" x14ac:dyDescent="0.35">
      <c r="A235" s="10" t="s">
        <v>946</v>
      </c>
      <c r="B235" s="10" t="s">
        <v>160</v>
      </c>
      <c r="C235" s="10" t="s">
        <v>947</v>
      </c>
      <c r="D235" s="10" t="s">
        <v>1878</v>
      </c>
      <c r="E235" s="10" t="s">
        <v>2025</v>
      </c>
      <c r="F235" s="10" t="s">
        <v>1878</v>
      </c>
      <c r="G235" s="14">
        <v>43787</v>
      </c>
      <c r="H235">
        <v>2019</v>
      </c>
      <c r="I235" s="10" t="s">
        <v>1878</v>
      </c>
      <c r="J235" s="10" t="s">
        <v>20</v>
      </c>
      <c r="K235" s="15">
        <v>3750.42</v>
      </c>
    </row>
    <row r="236" spans="1:11" x14ac:dyDescent="0.35">
      <c r="A236" s="10" t="s">
        <v>950</v>
      </c>
      <c r="B236" s="10" t="s">
        <v>225</v>
      </c>
      <c r="C236" s="10" t="s">
        <v>951</v>
      </c>
      <c r="D236" s="10" t="s">
        <v>1878</v>
      </c>
      <c r="E236" s="10" t="s">
        <v>18</v>
      </c>
      <c r="F236" s="16" t="s">
        <v>18</v>
      </c>
      <c r="G236" s="14">
        <v>43931</v>
      </c>
      <c r="H236">
        <v>2020</v>
      </c>
      <c r="I236" s="10" t="s">
        <v>1878</v>
      </c>
      <c r="J236" s="10" t="s">
        <v>27</v>
      </c>
      <c r="K236" s="15">
        <v>4101.68</v>
      </c>
    </row>
    <row r="237" spans="1:11" x14ac:dyDescent="0.35">
      <c r="A237" s="10" t="s">
        <v>616</v>
      </c>
      <c r="B237" s="10" t="s">
        <v>303</v>
      </c>
      <c r="C237" s="10" t="s">
        <v>617</v>
      </c>
      <c r="D237" s="10" t="s">
        <v>1878</v>
      </c>
      <c r="E237" s="10" t="s">
        <v>1971</v>
      </c>
      <c r="F237" s="10" t="s">
        <v>1878</v>
      </c>
      <c r="G237" s="17" t="s">
        <v>18</v>
      </c>
      <c r="I237" s="16" t="s">
        <v>18</v>
      </c>
      <c r="J237" s="10" t="s">
        <v>29</v>
      </c>
      <c r="K237" s="15">
        <v>2993.24</v>
      </c>
    </row>
    <row r="238" spans="1:11" x14ac:dyDescent="0.35">
      <c r="A238" s="10" t="s">
        <v>707</v>
      </c>
      <c r="B238" s="10" t="s">
        <v>708</v>
      </c>
      <c r="C238" s="10" t="s">
        <v>709</v>
      </c>
      <c r="D238" s="10" t="s">
        <v>1878</v>
      </c>
      <c r="E238" s="10" t="s">
        <v>1984</v>
      </c>
      <c r="F238" s="10" t="s">
        <v>1878</v>
      </c>
      <c r="G238" s="14">
        <v>44933</v>
      </c>
      <c r="H238">
        <v>2023</v>
      </c>
      <c r="I238" s="10" t="s">
        <v>1878</v>
      </c>
      <c r="J238" s="10" t="s">
        <v>22</v>
      </c>
      <c r="K238" s="15">
        <v>681.21</v>
      </c>
    </row>
    <row r="239" spans="1:11" x14ac:dyDescent="0.35">
      <c r="A239" s="10" t="s">
        <v>953</v>
      </c>
      <c r="B239" s="10" t="s">
        <v>308</v>
      </c>
      <c r="C239" s="10" t="s">
        <v>954</v>
      </c>
      <c r="D239" s="10" t="s">
        <v>1878</v>
      </c>
      <c r="E239" s="10" t="s">
        <v>2026</v>
      </c>
      <c r="F239" s="10" t="s">
        <v>1878</v>
      </c>
      <c r="G239" s="14">
        <v>44843</v>
      </c>
      <c r="H239">
        <v>2022</v>
      </c>
      <c r="I239" s="10" t="s">
        <v>1878</v>
      </c>
      <c r="J239" s="10" t="s">
        <v>20</v>
      </c>
      <c r="K239" s="15">
        <v>747.04</v>
      </c>
    </row>
    <row r="240" spans="1:11" x14ac:dyDescent="0.35">
      <c r="A240" s="10" t="s">
        <v>957</v>
      </c>
      <c r="B240" s="10" t="s">
        <v>469</v>
      </c>
      <c r="C240" s="10" t="s">
        <v>958</v>
      </c>
      <c r="D240" s="10" t="s">
        <v>1878</v>
      </c>
      <c r="E240" s="10" t="s">
        <v>2027</v>
      </c>
      <c r="F240" s="10" t="s">
        <v>1878</v>
      </c>
      <c r="G240" s="14">
        <v>43924</v>
      </c>
      <c r="H240">
        <v>2020</v>
      </c>
      <c r="I240" s="10" t="s">
        <v>1878</v>
      </c>
      <c r="J240" s="10" t="s">
        <v>29</v>
      </c>
      <c r="K240" s="15">
        <v>4919.2700000000004</v>
      </c>
    </row>
    <row r="241" spans="1:11" x14ac:dyDescent="0.35">
      <c r="A241" s="10" t="s">
        <v>961</v>
      </c>
      <c r="B241" s="10" t="s">
        <v>53</v>
      </c>
      <c r="C241" s="10" t="s">
        <v>962</v>
      </c>
      <c r="D241" s="10" t="s">
        <v>1878</v>
      </c>
      <c r="E241" s="10" t="s">
        <v>963</v>
      </c>
      <c r="F241" s="10" t="s">
        <v>1878</v>
      </c>
      <c r="G241" s="14">
        <v>45413</v>
      </c>
      <c r="H241">
        <v>2024</v>
      </c>
      <c r="I241" s="10" t="s">
        <v>1878</v>
      </c>
      <c r="J241" s="10" t="s">
        <v>20</v>
      </c>
      <c r="K241" s="15">
        <v>1413.4</v>
      </c>
    </row>
    <row r="242" spans="1:11" x14ac:dyDescent="0.35">
      <c r="A242" s="10" t="s">
        <v>965</v>
      </c>
      <c r="B242" s="10" t="s">
        <v>589</v>
      </c>
      <c r="C242" s="10" t="s">
        <v>18</v>
      </c>
      <c r="D242" s="16" t="s">
        <v>18</v>
      </c>
      <c r="E242" s="10" t="s">
        <v>2028</v>
      </c>
      <c r="F242" s="10" t="s">
        <v>1878</v>
      </c>
      <c r="G242" s="17" t="s">
        <v>18</v>
      </c>
      <c r="I242" s="16" t="s">
        <v>18</v>
      </c>
      <c r="J242" s="10" t="s">
        <v>27</v>
      </c>
      <c r="K242" s="15">
        <v>2287.64</v>
      </c>
    </row>
    <row r="243" spans="1:11" x14ac:dyDescent="0.35">
      <c r="A243" s="10" t="s">
        <v>967</v>
      </c>
      <c r="B243" s="10" t="s">
        <v>461</v>
      </c>
      <c r="C243" s="10" t="s">
        <v>2029</v>
      </c>
      <c r="D243" s="10" t="s">
        <v>1878</v>
      </c>
      <c r="E243" s="10" t="s">
        <v>2030</v>
      </c>
      <c r="F243" s="10" t="s">
        <v>1878</v>
      </c>
      <c r="G243" s="14">
        <v>43898</v>
      </c>
      <c r="H243">
        <v>2020</v>
      </c>
      <c r="I243" s="10" t="s">
        <v>1878</v>
      </c>
      <c r="J243" s="10" t="s">
        <v>29</v>
      </c>
      <c r="K243" s="15">
        <v>2483.4499999999998</v>
      </c>
    </row>
    <row r="244" spans="1:11" x14ac:dyDescent="0.35">
      <c r="A244" s="10" t="s">
        <v>971</v>
      </c>
      <c r="B244" s="10" t="s">
        <v>972</v>
      </c>
      <c r="C244" s="10" t="s">
        <v>973</v>
      </c>
      <c r="D244" s="10" t="s">
        <v>1878</v>
      </c>
      <c r="E244" s="10" t="s">
        <v>18</v>
      </c>
      <c r="F244" s="16" t="s">
        <v>18</v>
      </c>
      <c r="G244" s="17" t="s">
        <v>18</v>
      </c>
      <c r="I244" s="16" t="s">
        <v>18</v>
      </c>
      <c r="J244" s="10" t="s">
        <v>28</v>
      </c>
      <c r="K244" s="15">
        <v>4967.68</v>
      </c>
    </row>
    <row r="245" spans="1:11" x14ac:dyDescent="0.35">
      <c r="A245" s="10" t="s">
        <v>974</v>
      </c>
      <c r="B245" s="10" t="s">
        <v>975</v>
      </c>
      <c r="C245" s="10" t="s">
        <v>976</v>
      </c>
      <c r="D245" s="10" t="s">
        <v>1878</v>
      </c>
      <c r="E245" s="10" t="s">
        <v>18</v>
      </c>
      <c r="F245" s="16" t="s">
        <v>18</v>
      </c>
      <c r="G245" s="14">
        <v>43978</v>
      </c>
      <c r="H245">
        <v>2020</v>
      </c>
      <c r="I245" s="10" t="s">
        <v>1878</v>
      </c>
      <c r="J245" s="10" t="s">
        <v>29</v>
      </c>
      <c r="K245" s="15">
        <v>4057.23</v>
      </c>
    </row>
    <row r="246" spans="1:11" x14ac:dyDescent="0.35">
      <c r="A246" s="10" t="s">
        <v>978</v>
      </c>
      <c r="B246" s="10" t="s">
        <v>979</v>
      </c>
      <c r="C246" s="10" t="s">
        <v>980</v>
      </c>
      <c r="D246" s="10" t="s">
        <v>1878</v>
      </c>
      <c r="E246" s="10" t="s">
        <v>981</v>
      </c>
      <c r="F246" s="10" t="s">
        <v>1878</v>
      </c>
      <c r="G246" s="14">
        <v>43957</v>
      </c>
      <c r="H246">
        <v>2020</v>
      </c>
      <c r="I246" s="10" t="s">
        <v>1878</v>
      </c>
      <c r="J246" s="10" t="s">
        <v>29</v>
      </c>
      <c r="K246" s="15">
        <v>4107.07</v>
      </c>
    </row>
    <row r="247" spans="1:11" x14ac:dyDescent="0.35">
      <c r="A247" s="10" t="s">
        <v>983</v>
      </c>
      <c r="B247" s="10" t="s">
        <v>984</v>
      </c>
      <c r="C247" s="10" t="s">
        <v>985</v>
      </c>
      <c r="D247" s="10" t="s">
        <v>1878</v>
      </c>
      <c r="E247" s="10" t="s">
        <v>986</v>
      </c>
      <c r="F247" s="10" t="s">
        <v>1878</v>
      </c>
      <c r="G247" s="14">
        <v>44790</v>
      </c>
      <c r="H247">
        <v>2022</v>
      </c>
      <c r="I247" s="10" t="s">
        <v>1878</v>
      </c>
      <c r="J247" s="10" t="s">
        <v>29</v>
      </c>
      <c r="K247" s="15">
        <v>3044.2</v>
      </c>
    </row>
    <row r="248" spans="1:11" x14ac:dyDescent="0.35">
      <c r="A248" s="10" t="s">
        <v>988</v>
      </c>
      <c r="B248" s="10" t="s">
        <v>989</v>
      </c>
      <c r="C248" s="10" t="s">
        <v>990</v>
      </c>
      <c r="D248" s="10" t="s">
        <v>1878</v>
      </c>
      <c r="E248" s="10" t="s">
        <v>2031</v>
      </c>
      <c r="F248" s="10" t="s">
        <v>1878</v>
      </c>
      <c r="G248" s="17" t="s">
        <v>18</v>
      </c>
      <c r="I248" s="16" t="s">
        <v>18</v>
      </c>
      <c r="J248" s="10" t="s">
        <v>28</v>
      </c>
      <c r="K248" s="15">
        <v>3058.22</v>
      </c>
    </row>
    <row r="249" spans="1:11" x14ac:dyDescent="0.35">
      <c r="A249" s="10" t="s">
        <v>992</v>
      </c>
      <c r="B249" s="10" t="s">
        <v>726</v>
      </c>
      <c r="C249" s="10" t="s">
        <v>993</v>
      </c>
      <c r="D249" s="10" t="s">
        <v>1878</v>
      </c>
      <c r="E249" s="10" t="s">
        <v>2032</v>
      </c>
      <c r="F249" s="10" t="s">
        <v>1878</v>
      </c>
      <c r="G249" s="14">
        <v>45415</v>
      </c>
      <c r="H249">
        <v>2024</v>
      </c>
      <c r="I249" s="10" t="s">
        <v>1878</v>
      </c>
      <c r="J249" s="10" t="s">
        <v>29</v>
      </c>
      <c r="K249" s="15">
        <v>1250.3</v>
      </c>
    </row>
    <row r="250" spans="1:11" x14ac:dyDescent="0.35">
      <c r="A250" s="10" t="s">
        <v>996</v>
      </c>
      <c r="B250" s="10" t="s">
        <v>984</v>
      </c>
      <c r="C250" s="10" t="s">
        <v>997</v>
      </c>
      <c r="D250" s="10" t="s">
        <v>1878</v>
      </c>
      <c r="E250" s="10" t="s">
        <v>2033</v>
      </c>
      <c r="F250" s="10" t="s">
        <v>1878</v>
      </c>
      <c r="G250" s="14">
        <v>43820</v>
      </c>
      <c r="H250">
        <v>2019</v>
      </c>
      <c r="I250" s="10" t="s">
        <v>1878</v>
      </c>
      <c r="J250" s="10" t="s">
        <v>20</v>
      </c>
      <c r="K250" s="15">
        <v>2247.66</v>
      </c>
    </row>
    <row r="251" spans="1:11" x14ac:dyDescent="0.35">
      <c r="A251" s="10" t="s">
        <v>1000</v>
      </c>
      <c r="B251" s="10" t="s">
        <v>63</v>
      </c>
      <c r="C251" s="10" t="s">
        <v>1001</v>
      </c>
      <c r="D251" s="10" t="s">
        <v>1878</v>
      </c>
      <c r="E251" s="10" t="s">
        <v>1002</v>
      </c>
      <c r="F251" s="10" t="s">
        <v>1878</v>
      </c>
      <c r="G251" s="14">
        <v>44366</v>
      </c>
      <c r="H251">
        <v>2021</v>
      </c>
      <c r="I251" s="10" t="s">
        <v>1878</v>
      </c>
      <c r="J251" s="10" t="s">
        <v>26</v>
      </c>
      <c r="K251" s="15">
        <v>4591.66</v>
      </c>
    </row>
    <row r="252" spans="1:11" x14ac:dyDescent="0.35">
      <c r="A252" s="10" t="s">
        <v>1003</v>
      </c>
      <c r="B252" s="10" t="s">
        <v>1004</v>
      </c>
      <c r="C252" s="10" t="s">
        <v>1005</v>
      </c>
      <c r="D252" s="10" t="s">
        <v>1878</v>
      </c>
      <c r="E252" s="10" t="s">
        <v>2034</v>
      </c>
      <c r="F252" s="10" t="s">
        <v>1878</v>
      </c>
      <c r="G252" s="14">
        <v>44872</v>
      </c>
      <c r="H252">
        <v>2022</v>
      </c>
      <c r="I252" s="10" t="s">
        <v>1878</v>
      </c>
      <c r="J252" s="10" t="s">
        <v>29</v>
      </c>
      <c r="K252" s="15">
        <v>2116</v>
      </c>
    </row>
    <row r="253" spans="1:11" x14ac:dyDescent="0.35">
      <c r="A253" s="10" t="s">
        <v>1008</v>
      </c>
      <c r="B253" s="10" t="s">
        <v>1009</v>
      </c>
      <c r="C253" s="10" t="s">
        <v>1010</v>
      </c>
      <c r="D253" s="10" t="s">
        <v>1878</v>
      </c>
      <c r="E253" s="10" t="s">
        <v>2035</v>
      </c>
      <c r="F253" s="10" t="s">
        <v>1878</v>
      </c>
      <c r="G253" s="14">
        <v>45311</v>
      </c>
      <c r="H253">
        <v>2024</v>
      </c>
      <c r="I253" s="10" t="s">
        <v>1878</v>
      </c>
      <c r="J253" s="10" t="s">
        <v>29</v>
      </c>
      <c r="K253" s="15">
        <v>4535.2299999999996</v>
      </c>
    </row>
    <row r="254" spans="1:11" x14ac:dyDescent="0.35">
      <c r="A254" s="10" t="s">
        <v>1013</v>
      </c>
      <c r="B254" s="10" t="s">
        <v>1014</v>
      </c>
      <c r="C254" s="10" t="s">
        <v>1015</v>
      </c>
      <c r="D254" s="10" t="s">
        <v>1878</v>
      </c>
      <c r="E254" s="10" t="s">
        <v>2036</v>
      </c>
      <c r="F254" s="10" t="s">
        <v>1878</v>
      </c>
      <c r="G254" s="14">
        <v>44198</v>
      </c>
      <c r="H254">
        <v>2021</v>
      </c>
      <c r="I254" s="10" t="s">
        <v>1878</v>
      </c>
      <c r="J254" s="10" t="s">
        <v>20</v>
      </c>
      <c r="K254" s="15">
        <v>886.88</v>
      </c>
    </row>
    <row r="255" spans="1:11" x14ac:dyDescent="0.35">
      <c r="A255" s="10" t="s">
        <v>1018</v>
      </c>
      <c r="B255" s="10" t="s">
        <v>726</v>
      </c>
      <c r="C255" s="10" t="s">
        <v>1019</v>
      </c>
      <c r="D255" s="10" t="s">
        <v>1878</v>
      </c>
      <c r="E255" s="10" t="s">
        <v>2037</v>
      </c>
      <c r="F255" s="10" t="s">
        <v>1878</v>
      </c>
      <c r="G255" s="14">
        <v>45285</v>
      </c>
      <c r="H255">
        <v>2023</v>
      </c>
      <c r="I255" s="10" t="s">
        <v>1878</v>
      </c>
      <c r="J255" s="10" t="s">
        <v>29</v>
      </c>
      <c r="K255" s="15">
        <v>1004.36</v>
      </c>
    </row>
    <row r="256" spans="1:11" x14ac:dyDescent="0.35">
      <c r="A256" s="10" t="s">
        <v>1022</v>
      </c>
      <c r="B256" s="10" t="s">
        <v>579</v>
      </c>
      <c r="C256" s="10" t="s">
        <v>1023</v>
      </c>
      <c r="D256" s="10" t="s">
        <v>1878</v>
      </c>
      <c r="E256" s="10" t="s">
        <v>2038</v>
      </c>
      <c r="F256" s="10" t="s">
        <v>1878</v>
      </c>
      <c r="G256" s="14">
        <v>44751</v>
      </c>
      <c r="H256">
        <v>2022</v>
      </c>
      <c r="I256" s="10" t="s">
        <v>1878</v>
      </c>
      <c r="J256" s="10" t="s">
        <v>29</v>
      </c>
      <c r="K256" s="15">
        <v>1412.92</v>
      </c>
    </row>
    <row r="257" spans="1:11" x14ac:dyDescent="0.35">
      <c r="A257" s="10" t="s">
        <v>1026</v>
      </c>
      <c r="B257" s="10" t="s">
        <v>1027</v>
      </c>
      <c r="C257" s="10" t="s">
        <v>1028</v>
      </c>
      <c r="D257" s="10" t="s">
        <v>1878</v>
      </c>
      <c r="E257" s="10" t="s">
        <v>2039</v>
      </c>
      <c r="F257" s="10" t="s">
        <v>1878</v>
      </c>
      <c r="G257" s="14">
        <v>45392</v>
      </c>
      <c r="H257">
        <v>2024</v>
      </c>
      <c r="I257" s="10" t="s">
        <v>1878</v>
      </c>
      <c r="J257" s="10" t="s">
        <v>29</v>
      </c>
      <c r="K257" s="15">
        <v>699.14</v>
      </c>
    </row>
    <row r="258" spans="1:11" x14ac:dyDescent="0.35">
      <c r="A258" s="10" t="s">
        <v>1031</v>
      </c>
      <c r="B258" s="10" t="s">
        <v>195</v>
      </c>
      <c r="C258" s="10" t="s">
        <v>1032</v>
      </c>
      <c r="D258" s="10" t="s">
        <v>1878</v>
      </c>
      <c r="E258" s="10" t="s">
        <v>18</v>
      </c>
      <c r="F258" s="16" t="s">
        <v>18</v>
      </c>
      <c r="G258" s="14">
        <v>44189</v>
      </c>
      <c r="H258">
        <v>2020</v>
      </c>
      <c r="I258" s="10" t="s">
        <v>1878</v>
      </c>
      <c r="J258" s="10" t="s">
        <v>22</v>
      </c>
      <c r="K258" s="15">
        <v>4051</v>
      </c>
    </row>
    <row r="259" spans="1:11" x14ac:dyDescent="0.35">
      <c r="A259" s="10" t="s">
        <v>1034</v>
      </c>
      <c r="B259" s="10" t="s">
        <v>777</v>
      </c>
      <c r="C259" s="10" t="s">
        <v>1035</v>
      </c>
      <c r="D259" s="10" t="s">
        <v>1878</v>
      </c>
      <c r="E259" s="10" t="s">
        <v>2040</v>
      </c>
      <c r="F259" s="10" t="s">
        <v>1878</v>
      </c>
      <c r="G259" s="14">
        <v>45431</v>
      </c>
      <c r="H259">
        <v>2024</v>
      </c>
      <c r="I259" s="10" t="s">
        <v>1878</v>
      </c>
      <c r="J259" s="10" t="s">
        <v>27</v>
      </c>
      <c r="K259" s="15">
        <v>4852.68</v>
      </c>
    </row>
    <row r="260" spans="1:11" x14ac:dyDescent="0.35">
      <c r="A260" s="10" t="s">
        <v>1037</v>
      </c>
      <c r="B260" s="10" t="s">
        <v>677</v>
      </c>
      <c r="C260" s="10" t="s">
        <v>1038</v>
      </c>
      <c r="D260" s="10" t="s">
        <v>1878</v>
      </c>
      <c r="E260" s="10" t="s">
        <v>1039</v>
      </c>
      <c r="F260" s="10" t="s">
        <v>1878</v>
      </c>
      <c r="G260" s="14">
        <v>44197</v>
      </c>
      <c r="H260">
        <v>2021</v>
      </c>
      <c r="I260" s="10" t="s">
        <v>1878</v>
      </c>
      <c r="J260" s="10" t="s">
        <v>20</v>
      </c>
      <c r="K260" s="15">
        <v>3398.89</v>
      </c>
    </row>
    <row r="261" spans="1:11" x14ac:dyDescent="0.35">
      <c r="A261" s="10" t="s">
        <v>1040</v>
      </c>
      <c r="B261" s="10" t="s">
        <v>401</v>
      </c>
      <c r="C261" s="10" t="s">
        <v>2041</v>
      </c>
      <c r="D261" s="10" t="s">
        <v>1878</v>
      </c>
      <c r="E261" s="10" t="s">
        <v>2042</v>
      </c>
      <c r="F261" s="10" t="s">
        <v>1878</v>
      </c>
      <c r="G261" s="14">
        <v>44296</v>
      </c>
      <c r="H261">
        <v>2021</v>
      </c>
      <c r="I261" s="10" t="s">
        <v>1878</v>
      </c>
      <c r="J261" s="10" t="s">
        <v>28</v>
      </c>
      <c r="K261" s="15">
        <v>4185.75</v>
      </c>
    </row>
    <row r="262" spans="1:11" x14ac:dyDescent="0.35">
      <c r="A262" s="10" t="s">
        <v>1044</v>
      </c>
      <c r="B262" s="10" t="s">
        <v>239</v>
      </c>
      <c r="C262" s="10" t="s">
        <v>1045</v>
      </c>
      <c r="D262" s="10" t="s">
        <v>1878</v>
      </c>
      <c r="E262" s="10" t="s">
        <v>18</v>
      </c>
      <c r="F262" s="16" t="s">
        <v>18</v>
      </c>
      <c r="G262" s="14">
        <v>43488</v>
      </c>
      <c r="H262">
        <v>2019</v>
      </c>
      <c r="I262" s="10" t="s">
        <v>1878</v>
      </c>
      <c r="J262" s="10" t="s">
        <v>22</v>
      </c>
      <c r="K262" s="15">
        <v>474.93</v>
      </c>
    </row>
    <row r="263" spans="1:11" x14ac:dyDescent="0.35">
      <c r="A263" s="10" t="s">
        <v>1047</v>
      </c>
      <c r="B263" s="10" t="s">
        <v>1048</v>
      </c>
      <c r="C263" s="10" t="s">
        <v>1049</v>
      </c>
      <c r="D263" s="10" t="s">
        <v>1878</v>
      </c>
      <c r="E263" s="10" t="s">
        <v>18</v>
      </c>
      <c r="F263" s="16" t="s">
        <v>18</v>
      </c>
      <c r="G263" s="14">
        <v>45113</v>
      </c>
      <c r="H263">
        <v>2023</v>
      </c>
      <c r="I263" s="10" t="s">
        <v>1878</v>
      </c>
      <c r="J263" s="10" t="s">
        <v>29</v>
      </c>
      <c r="K263" s="15">
        <v>880.56</v>
      </c>
    </row>
    <row r="264" spans="1:11" x14ac:dyDescent="0.35">
      <c r="A264" s="10" t="s">
        <v>1051</v>
      </c>
      <c r="B264" s="10" t="s">
        <v>579</v>
      </c>
      <c r="C264" s="10" t="s">
        <v>1052</v>
      </c>
      <c r="D264" s="10" t="s">
        <v>1878</v>
      </c>
      <c r="E264" s="10" t="s">
        <v>2043</v>
      </c>
      <c r="F264" s="10" t="s">
        <v>1878</v>
      </c>
      <c r="G264" s="17" t="s">
        <v>18</v>
      </c>
      <c r="I264" s="16" t="s">
        <v>18</v>
      </c>
      <c r="J264" s="10" t="s">
        <v>20</v>
      </c>
      <c r="K264" s="15">
        <v>4846.13</v>
      </c>
    </row>
    <row r="265" spans="1:11" x14ac:dyDescent="0.35">
      <c r="A265" s="10" t="s">
        <v>1054</v>
      </c>
      <c r="B265" s="10" t="s">
        <v>1055</v>
      </c>
      <c r="C265" s="10" t="s">
        <v>1056</v>
      </c>
      <c r="D265" s="10" t="s">
        <v>1878</v>
      </c>
      <c r="E265" s="10" t="s">
        <v>2044</v>
      </c>
      <c r="F265" s="10" t="s">
        <v>1878</v>
      </c>
      <c r="G265" s="14">
        <v>43528</v>
      </c>
      <c r="H265">
        <v>2019</v>
      </c>
      <c r="I265" s="10" t="s">
        <v>1878</v>
      </c>
      <c r="J265" s="10" t="s">
        <v>22</v>
      </c>
      <c r="K265" s="15">
        <v>1102.93</v>
      </c>
    </row>
    <row r="266" spans="1:11" x14ac:dyDescent="0.35">
      <c r="A266" s="10" t="s">
        <v>1059</v>
      </c>
      <c r="B266" s="10" t="s">
        <v>354</v>
      </c>
      <c r="C266" s="10" t="s">
        <v>1060</v>
      </c>
      <c r="D266" s="10" t="s">
        <v>1878</v>
      </c>
      <c r="E266" s="10" t="s">
        <v>1061</v>
      </c>
      <c r="F266" s="10" t="s">
        <v>1878</v>
      </c>
      <c r="G266" s="14">
        <v>43788</v>
      </c>
      <c r="H266">
        <v>2019</v>
      </c>
      <c r="I266" s="10" t="s">
        <v>1878</v>
      </c>
      <c r="J266" s="10" t="s">
        <v>24</v>
      </c>
      <c r="K266" s="15">
        <v>4544.0600000000004</v>
      </c>
    </row>
    <row r="267" spans="1:11" x14ac:dyDescent="0.35">
      <c r="A267" s="10" t="s">
        <v>1063</v>
      </c>
      <c r="B267" s="10" t="s">
        <v>1064</v>
      </c>
      <c r="C267" s="10" t="s">
        <v>1065</v>
      </c>
      <c r="D267" s="10" t="s">
        <v>1878</v>
      </c>
      <c r="E267" s="10" t="s">
        <v>2045</v>
      </c>
      <c r="F267" s="10" t="s">
        <v>1878</v>
      </c>
      <c r="G267" s="17" t="s">
        <v>18</v>
      </c>
      <c r="I267" s="16" t="s">
        <v>18</v>
      </c>
      <c r="J267" s="10" t="s">
        <v>29</v>
      </c>
      <c r="K267" s="15">
        <v>2587</v>
      </c>
    </row>
    <row r="268" spans="1:11" x14ac:dyDescent="0.35">
      <c r="A268" s="10" t="s">
        <v>1067</v>
      </c>
      <c r="B268" s="10" t="s">
        <v>589</v>
      </c>
      <c r="C268" s="10" t="s">
        <v>1068</v>
      </c>
      <c r="D268" s="10" t="s">
        <v>1878</v>
      </c>
      <c r="E268" s="10" t="s">
        <v>2046</v>
      </c>
      <c r="F268" s="10" t="s">
        <v>1878</v>
      </c>
      <c r="G268" s="17" t="s">
        <v>18</v>
      </c>
      <c r="I268" s="16" t="s">
        <v>18</v>
      </c>
      <c r="J268" s="10" t="s">
        <v>24</v>
      </c>
      <c r="K268" s="15">
        <v>119</v>
      </c>
    </row>
    <row r="269" spans="1:11" x14ac:dyDescent="0.35">
      <c r="A269" s="10" t="s">
        <v>1070</v>
      </c>
      <c r="B269" s="10" t="s">
        <v>418</v>
      </c>
      <c r="C269" s="10" t="s">
        <v>1071</v>
      </c>
      <c r="D269" s="10" t="s">
        <v>1878</v>
      </c>
      <c r="E269" s="10" t="s">
        <v>2047</v>
      </c>
      <c r="F269" s="10" t="s">
        <v>1878</v>
      </c>
      <c r="G269" s="14">
        <v>44594</v>
      </c>
      <c r="H269">
        <v>2022</v>
      </c>
      <c r="I269" s="10" t="s">
        <v>1878</v>
      </c>
      <c r="J269" s="10" t="s">
        <v>20</v>
      </c>
      <c r="K269" s="15">
        <v>2802.47</v>
      </c>
    </row>
    <row r="270" spans="1:11" x14ac:dyDescent="0.35">
      <c r="A270" s="10" t="s">
        <v>1074</v>
      </c>
      <c r="B270" s="10" t="s">
        <v>177</v>
      </c>
      <c r="C270" s="10" t="s">
        <v>1075</v>
      </c>
      <c r="D270" s="10" t="s">
        <v>1878</v>
      </c>
      <c r="E270" s="10" t="s">
        <v>2048</v>
      </c>
      <c r="F270" s="10" t="s">
        <v>1878</v>
      </c>
      <c r="G270" s="14">
        <v>44793</v>
      </c>
      <c r="H270">
        <v>2022</v>
      </c>
      <c r="I270" s="10" t="s">
        <v>1878</v>
      </c>
      <c r="J270" s="10" t="s">
        <v>27</v>
      </c>
      <c r="K270" s="15">
        <v>3636.95</v>
      </c>
    </row>
    <row r="271" spans="1:11" x14ac:dyDescent="0.35">
      <c r="A271" s="10" t="s">
        <v>1078</v>
      </c>
      <c r="B271" s="10" t="s">
        <v>1079</v>
      </c>
      <c r="C271" s="10" t="s">
        <v>1080</v>
      </c>
      <c r="D271" s="10" t="s">
        <v>1878</v>
      </c>
      <c r="E271" s="10" t="s">
        <v>2049</v>
      </c>
      <c r="F271" s="10" t="s">
        <v>1878</v>
      </c>
      <c r="G271" s="14">
        <v>44791</v>
      </c>
      <c r="H271">
        <v>2022</v>
      </c>
      <c r="I271" s="10" t="s">
        <v>1878</v>
      </c>
      <c r="J271" s="10" t="s">
        <v>29</v>
      </c>
      <c r="K271" s="15">
        <v>4640</v>
      </c>
    </row>
    <row r="272" spans="1:11" x14ac:dyDescent="0.35">
      <c r="A272" s="10" t="s">
        <v>1083</v>
      </c>
      <c r="B272" s="10" t="s">
        <v>110</v>
      </c>
      <c r="C272" s="10" t="s">
        <v>1084</v>
      </c>
      <c r="D272" s="10" t="s">
        <v>1878</v>
      </c>
      <c r="E272" s="10" t="s">
        <v>1085</v>
      </c>
      <c r="F272" s="10" t="s">
        <v>1878</v>
      </c>
      <c r="G272" s="14">
        <v>44646</v>
      </c>
      <c r="H272">
        <v>2022</v>
      </c>
      <c r="I272" s="10" t="s">
        <v>1878</v>
      </c>
      <c r="J272" s="10" t="s">
        <v>28</v>
      </c>
      <c r="K272" s="15">
        <v>3679.63</v>
      </c>
    </row>
    <row r="273" spans="1:11" x14ac:dyDescent="0.35">
      <c r="A273" s="10" t="s">
        <v>1087</v>
      </c>
      <c r="B273" s="10" t="s">
        <v>1088</v>
      </c>
      <c r="C273" s="10" t="s">
        <v>1089</v>
      </c>
      <c r="D273" s="10" t="s">
        <v>1878</v>
      </c>
      <c r="E273" s="10" t="s">
        <v>1090</v>
      </c>
      <c r="F273" s="10" t="s">
        <v>1878</v>
      </c>
      <c r="G273" s="17" t="s">
        <v>18</v>
      </c>
      <c r="I273" s="16" t="s">
        <v>18</v>
      </c>
      <c r="J273" s="10" t="s">
        <v>22</v>
      </c>
      <c r="K273" s="15">
        <v>3420.94</v>
      </c>
    </row>
    <row r="274" spans="1:11" x14ac:dyDescent="0.35">
      <c r="A274" s="10" t="s">
        <v>1091</v>
      </c>
      <c r="B274" s="10" t="s">
        <v>303</v>
      </c>
      <c r="C274" s="10" t="s">
        <v>1092</v>
      </c>
      <c r="D274" s="10" t="s">
        <v>1878</v>
      </c>
      <c r="E274" s="10" t="s">
        <v>18</v>
      </c>
      <c r="F274" s="16" t="s">
        <v>18</v>
      </c>
      <c r="G274" s="14">
        <v>44858</v>
      </c>
      <c r="H274">
        <v>2022</v>
      </c>
      <c r="I274" s="10" t="s">
        <v>1878</v>
      </c>
      <c r="J274" s="10" t="s">
        <v>28</v>
      </c>
      <c r="K274" s="15">
        <v>3954.2</v>
      </c>
    </row>
    <row r="275" spans="1:11" x14ac:dyDescent="0.35">
      <c r="A275" s="10" t="s">
        <v>1094</v>
      </c>
      <c r="B275" s="10" t="s">
        <v>298</v>
      </c>
      <c r="C275" s="10" t="s">
        <v>1095</v>
      </c>
      <c r="D275" s="10" t="s">
        <v>1878</v>
      </c>
      <c r="E275" s="10" t="s">
        <v>1096</v>
      </c>
      <c r="F275" s="10" t="s">
        <v>1878</v>
      </c>
      <c r="G275" s="14">
        <v>44365</v>
      </c>
      <c r="H275">
        <v>2021</v>
      </c>
      <c r="I275" s="10" t="s">
        <v>1878</v>
      </c>
      <c r="J275" s="10" t="s">
        <v>24</v>
      </c>
      <c r="K275" s="15">
        <v>106.74</v>
      </c>
    </row>
    <row r="276" spans="1:11" x14ac:dyDescent="0.35">
      <c r="A276" s="10" t="s">
        <v>1098</v>
      </c>
      <c r="B276" s="10" t="s">
        <v>1099</v>
      </c>
      <c r="C276" s="10" t="s">
        <v>18</v>
      </c>
      <c r="D276" s="16" t="s">
        <v>18</v>
      </c>
      <c r="E276" s="10" t="s">
        <v>18</v>
      </c>
      <c r="F276" s="16" t="s">
        <v>18</v>
      </c>
      <c r="G276" s="14">
        <v>43939</v>
      </c>
      <c r="H276">
        <v>2020</v>
      </c>
      <c r="I276" s="10" t="s">
        <v>1878</v>
      </c>
      <c r="J276" s="10" t="s">
        <v>29</v>
      </c>
      <c r="K276" s="15">
        <v>455.14</v>
      </c>
    </row>
    <row r="277" spans="1:11" x14ac:dyDescent="0.35">
      <c r="A277" s="10" t="s">
        <v>1101</v>
      </c>
      <c r="B277" s="10" t="s">
        <v>898</v>
      </c>
      <c r="C277" s="10" t="s">
        <v>1102</v>
      </c>
      <c r="D277" s="10" t="s">
        <v>1878</v>
      </c>
      <c r="E277" s="10" t="s">
        <v>2050</v>
      </c>
      <c r="F277" s="10" t="s">
        <v>1878</v>
      </c>
      <c r="G277" s="14">
        <v>43601</v>
      </c>
      <c r="H277">
        <v>2019</v>
      </c>
      <c r="I277" s="10" t="s">
        <v>1878</v>
      </c>
      <c r="J277" s="10" t="s">
        <v>24</v>
      </c>
      <c r="K277" s="15">
        <v>2235.8200000000002</v>
      </c>
    </row>
    <row r="278" spans="1:11" x14ac:dyDescent="0.35">
      <c r="A278" s="10" t="s">
        <v>1105</v>
      </c>
      <c r="B278" s="10" t="s">
        <v>257</v>
      </c>
      <c r="C278" s="10" t="s">
        <v>1106</v>
      </c>
      <c r="D278" s="10" t="s">
        <v>1878</v>
      </c>
      <c r="E278" s="10" t="s">
        <v>1107</v>
      </c>
      <c r="F278" s="10" t="s">
        <v>1878</v>
      </c>
      <c r="G278" s="14">
        <v>45105</v>
      </c>
      <c r="H278">
        <v>2023</v>
      </c>
      <c r="I278" s="10" t="s">
        <v>1878</v>
      </c>
      <c r="J278" s="10" t="s">
        <v>26</v>
      </c>
      <c r="K278" s="15">
        <v>0</v>
      </c>
    </row>
    <row r="279" spans="1:11" x14ac:dyDescent="0.35">
      <c r="A279" s="10" t="s">
        <v>1109</v>
      </c>
      <c r="B279" s="10" t="s">
        <v>1110</v>
      </c>
      <c r="C279" s="10" t="s">
        <v>1111</v>
      </c>
      <c r="D279" s="10" t="s">
        <v>1878</v>
      </c>
      <c r="E279" s="10" t="s">
        <v>18</v>
      </c>
      <c r="F279" s="16" t="s">
        <v>18</v>
      </c>
      <c r="G279" s="14">
        <v>44365</v>
      </c>
      <c r="H279">
        <v>2021</v>
      </c>
      <c r="I279" s="10" t="s">
        <v>1878</v>
      </c>
      <c r="J279" s="10" t="s">
        <v>20</v>
      </c>
      <c r="K279" s="15">
        <v>2835</v>
      </c>
    </row>
    <row r="280" spans="1:11" x14ac:dyDescent="0.35">
      <c r="A280" s="10" t="s">
        <v>1113</v>
      </c>
      <c r="B280" s="10" t="s">
        <v>1114</v>
      </c>
      <c r="C280" s="10" t="s">
        <v>18</v>
      </c>
      <c r="D280" s="16" t="s">
        <v>18</v>
      </c>
      <c r="E280" s="10" t="s">
        <v>2051</v>
      </c>
      <c r="F280" s="10" t="s">
        <v>1878</v>
      </c>
      <c r="G280" s="14">
        <v>44362</v>
      </c>
      <c r="H280">
        <v>2021</v>
      </c>
      <c r="I280" s="10" t="s">
        <v>1878</v>
      </c>
      <c r="J280" s="10" t="s">
        <v>27</v>
      </c>
      <c r="K280" s="15">
        <v>1963.33</v>
      </c>
    </row>
    <row r="281" spans="1:11" x14ac:dyDescent="0.35">
      <c r="A281" s="10" t="s">
        <v>1117</v>
      </c>
      <c r="B281" s="10" t="s">
        <v>1118</v>
      </c>
      <c r="C281" s="10" t="s">
        <v>1119</v>
      </c>
      <c r="D281" s="10" t="s">
        <v>1878</v>
      </c>
      <c r="E281" s="10" t="s">
        <v>2052</v>
      </c>
      <c r="F281" s="10" t="s">
        <v>1878</v>
      </c>
      <c r="G281" s="14">
        <v>43651</v>
      </c>
      <c r="H281">
        <v>2019</v>
      </c>
      <c r="I281" s="10" t="s">
        <v>1878</v>
      </c>
      <c r="J281" s="10" t="s">
        <v>26</v>
      </c>
      <c r="K281" s="15">
        <v>3620.36</v>
      </c>
    </row>
    <row r="282" spans="1:11" x14ac:dyDescent="0.35">
      <c r="A282" s="10" t="s">
        <v>1122</v>
      </c>
      <c r="B282" s="10" t="s">
        <v>145</v>
      </c>
      <c r="C282" s="10" t="s">
        <v>2053</v>
      </c>
      <c r="D282" s="10" t="s">
        <v>1878</v>
      </c>
      <c r="E282" s="10" t="s">
        <v>1124</v>
      </c>
      <c r="F282" s="10" t="s">
        <v>1878</v>
      </c>
      <c r="G282" s="17" t="s">
        <v>18</v>
      </c>
      <c r="I282" s="16" t="s">
        <v>18</v>
      </c>
      <c r="J282" s="10" t="s">
        <v>20</v>
      </c>
      <c r="K282" s="15">
        <v>0</v>
      </c>
    </row>
    <row r="283" spans="1:11" x14ac:dyDescent="0.35">
      <c r="A283" s="10" t="s">
        <v>1125</v>
      </c>
      <c r="B283" s="10" t="s">
        <v>465</v>
      </c>
      <c r="C283" s="10" t="s">
        <v>1126</v>
      </c>
      <c r="D283" s="10" t="s">
        <v>1878</v>
      </c>
      <c r="E283" s="10" t="s">
        <v>1127</v>
      </c>
      <c r="F283" s="10" t="s">
        <v>1878</v>
      </c>
      <c r="G283" s="14">
        <v>44497</v>
      </c>
      <c r="H283">
        <v>2021</v>
      </c>
      <c r="I283" s="10" t="s">
        <v>1878</v>
      </c>
      <c r="J283" s="10" t="s">
        <v>29</v>
      </c>
      <c r="K283" s="15">
        <v>2473.31</v>
      </c>
    </row>
    <row r="284" spans="1:11" x14ac:dyDescent="0.35">
      <c r="A284" s="10" t="s">
        <v>1129</v>
      </c>
      <c r="B284" s="10" t="s">
        <v>1130</v>
      </c>
      <c r="C284" s="10" t="s">
        <v>1131</v>
      </c>
      <c r="D284" s="10" t="s">
        <v>1878</v>
      </c>
      <c r="E284" s="10" t="s">
        <v>2054</v>
      </c>
      <c r="F284" s="10" t="s">
        <v>1878</v>
      </c>
      <c r="G284" s="17" t="s">
        <v>18</v>
      </c>
      <c r="I284" s="16" t="s">
        <v>18</v>
      </c>
      <c r="J284" s="10" t="s">
        <v>22</v>
      </c>
      <c r="K284" s="15">
        <v>4862.92</v>
      </c>
    </row>
    <row r="285" spans="1:11" x14ac:dyDescent="0.35">
      <c r="A285" s="10" t="s">
        <v>1133</v>
      </c>
      <c r="B285" s="10" t="s">
        <v>662</v>
      </c>
      <c r="C285" s="10" t="s">
        <v>1134</v>
      </c>
      <c r="D285" s="10" t="s">
        <v>1878</v>
      </c>
      <c r="E285" s="10" t="s">
        <v>2055</v>
      </c>
      <c r="F285" s="10" t="s">
        <v>1878</v>
      </c>
      <c r="G285" s="14">
        <v>43870</v>
      </c>
      <c r="H285">
        <v>2020</v>
      </c>
      <c r="I285" s="10" t="s">
        <v>1878</v>
      </c>
      <c r="J285" s="10" t="s">
        <v>24</v>
      </c>
      <c r="K285" s="15">
        <v>4076.79</v>
      </c>
    </row>
    <row r="286" spans="1:11" x14ac:dyDescent="0.35">
      <c r="A286" s="10" t="s">
        <v>1137</v>
      </c>
      <c r="B286" s="10" t="s">
        <v>516</v>
      </c>
      <c r="C286" s="10" t="s">
        <v>1138</v>
      </c>
      <c r="D286" s="10" t="s">
        <v>1878</v>
      </c>
      <c r="E286" s="10" t="s">
        <v>18</v>
      </c>
      <c r="F286" s="16" t="s">
        <v>18</v>
      </c>
      <c r="G286" s="14">
        <v>43819</v>
      </c>
      <c r="H286">
        <v>2019</v>
      </c>
      <c r="I286" s="10" t="s">
        <v>1878</v>
      </c>
      <c r="J286" s="10" t="s">
        <v>20</v>
      </c>
      <c r="K286" s="15">
        <v>3786.74</v>
      </c>
    </row>
    <row r="287" spans="1:11" x14ac:dyDescent="0.35">
      <c r="A287" s="10" t="s">
        <v>1140</v>
      </c>
      <c r="B287" s="10" t="s">
        <v>145</v>
      </c>
      <c r="C287" s="10" t="s">
        <v>1141</v>
      </c>
      <c r="D287" s="10" t="s">
        <v>1878</v>
      </c>
      <c r="E287" s="10" t="s">
        <v>2056</v>
      </c>
      <c r="F287" s="10" t="s">
        <v>1878</v>
      </c>
      <c r="G287" s="14">
        <v>44806</v>
      </c>
      <c r="H287">
        <v>2022</v>
      </c>
      <c r="I287" s="10" t="s">
        <v>1878</v>
      </c>
      <c r="J287" s="10" t="s">
        <v>26</v>
      </c>
      <c r="K287" s="15">
        <v>1683</v>
      </c>
    </row>
    <row r="288" spans="1:11" x14ac:dyDescent="0.35">
      <c r="A288" s="10" t="s">
        <v>1144</v>
      </c>
      <c r="B288" s="10" t="s">
        <v>293</v>
      </c>
      <c r="C288" s="10" t="s">
        <v>18</v>
      </c>
      <c r="D288" s="16" t="s">
        <v>18</v>
      </c>
      <c r="E288" s="10" t="s">
        <v>2057</v>
      </c>
      <c r="F288" s="10" t="s">
        <v>1878</v>
      </c>
      <c r="G288" s="14">
        <v>44527</v>
      </c>
      <c r="H288">
        <v>2021</v>
      </c>
      <c r="I288" s="10" t="s">
        <v>1878</v>
      </c>
      <c r="J288" s="10" t="s">
        <v>28</v>
      </c>
      <c r="K288" s="15">
        <v>4956.53</v>
      </c>
    </row>
    <row r="289" spans="1:11" x14ac:dyDescent="0.35">
      <c r="A289" s="10" t="s">
        <v>1147</v>
      </c>
      <c r="B289" s="10" t="s">
        <v>520</v>
      </c>
      <c r="C289" s="10" t="s">
        <v>1148</v>
      </c>
      <c r="D289" s="10" t="s">
        <v>1878</v>
      </c>
      <c r="E289" s="10" t="s">
        <v>1149</v>
      </c>
      <c r="F289" s="10" t="s">
        <v>1878</v>
      </c>
      <c r="G289" s="17" t="s">
        <v>18</v>
      </c>
      <c r="I289" s="16" t="s">
        <v>18</v>
      </c>
      <c r="J289" s="10" t="s">
        <v>24</v>
      </c>
      <c r="K289" s="15">
        <v>3313.21</v>
      </c>
    </row>
    <row r="290" spans="1:11" x14ac:dyDescent="0.35">
      <c r="A290" s="10" t="s">
        <v>1150</v>
      </c>
      <c r="B290" s="10" t="s">
        <v>418</v>
      </c>
      <c r="C290" s="10" t="s">
        <v>1151</v>
      </c>
      <c r="D290" s="10" t="s">
        <v>1878</v>
      </c>
      <c r="E290" s="10" t="s">
        <v>2058</v>
      </c>
      <c r="F290" s="10" t="s">
        <v>1878</v>
      </c>
      <c r="G290" s="17" t="s">
        <v>18</v>
      </c>
      <c r="I290" s="16" t="s">
        <v>18</v>
      </c>
      <c r="J290" s="10" t="s">
        <v>27</v>
      </c>
      <c r="K290" s="15">
        <v>281</v>
      </c>
    </row>
    <row r="291" spans="1:11" x14ac:dyDescent="0.35">
      <c r="A291" s="10" t="s">
        <v>1153</v>
      </c>
      <c r="B291" s="10" t="s">
        <v>620</v>
      </c>
      <c r="C291" s="10" t="s">
        <v>1154</v>
      </c>
      <c r="D291" s="10" t="s">
        <v>1878</v>
      </c>
      <c r="E291" s="10" t="s">
        <v>18</v>
      </c>
      <c r="F291" s="16" t="s">
        <v>18</v>
      </c>
      <c r="G291" s="17" t="s">
        <v>18</v>
      </c>
      <c r="I291" s="16" t="s">
        <v>18</v>
      </c>
      <c r="J291" s="10" t="s">
        <v>29</v>
      </c>
      <c r="K291" s="15">
        <v>565.63</v>
      </c>
    </row>
    <row r="292" spans="1:11" x14ac:dyDescent="0.35">
      <c r="A292" s="10" t="s">
        <v>1155</v>
      </c>
      <c r="B292" s="10" t="s">
        <v>1156</v>
      </c>
      <c r="C292" s="10" t="s">
        <v>1157</v>
      </c>
      <c r="D292" s="10" t="s">
        <v>1878</v>
      </c>
      <c r="E292" s="10" t="s">
        <v>1158</v>
      </c>
      <c r="F292" s="10" t="s">
        <v>1878</v>
      </c>
      <c r="G292" s="14">
        <v>43727</v>
      </c>
      <c r="H292">
        <v>2019</v>
      </c>
      <c r="I292" s="10" t="s">
        <v>1878</v>
      </c>
      <c r="J292" s="10" t="s">
        <v>29</v>
      </c>
      <c r="K292" s="15">
        <v>1478.61</v>
      </c>
    </row>
    <row r="293" spans="1:11" x14ac:dyDescent="0.35">
      <c r="A293" s="10" t="s">
        <v>1160</v>
      </c>
      <c r="B293" s="10" t="s">
        <v>458</v>
      </c>
      <c r="C293" s="10" t="s">
        <v>1161</v>
      </c>
      <c r="D293" s="10" t="s">
        <v>1878</v>
      </c>
      <c r="E293" s="10" t="s">
        <v>2059</v>
      </c>
      <c r="F293" s="10" t="s">
        <v>1878</v>
      </c>
      <c r="G293" s="14">
        <v>45202</v>
      </c>
      <c r="H293">
        <v>2023</v>
      </c>
      <c r="I293" s="10" t="s">
        <v>1878</v>
      </c>
      <c r="J293" s="10" t="s">
        <v>26</v>
      </c>
      <c r="K293" s="15">
        <v>3262.5</v>
      </c>
    </row>
    <row r="294" spans="1:11" x14ac:dyDescent="0.35">
      <c r="A294" s="10" t="s">
        <v>1164</v>
      </c>
      <c r="B294" s="10" t="s">
        <v>298</v>
      </c>
      <c r="C294" s="10" t="s">
        <v>1165</v>
      </c>
      <c r="D294" s="10" t="s">
        <v>1878</v>
      </c>
      <c r="E294" s="10" t="s">
        <v>2060</v>
      </c>
      <c r="F294" s="10" t="s">
        <v>1878</v>
      </c>
      <c r="G294" s="17" t="s">
        <v>18</v>
      </c>
      <c r="I294" s="16" t="s">
        <v>18</v>
      </c>
      <c r="J294" s="10" t="s">
        <v>22</v>
      </c>
      <c r="K294" s="15">
        <v>2093.48</v>
      </c>
    </row>
    <row r="295" spans="1:11" x14ac:dyDescent="0.35">
      <c r="A295" s="10" t="s">
        <v>1167</v>
      </c>
      <c r="B295" s="10" t="s">
        <v>624</v>
      </c>
      <c r="C295" s="10" t="s">
        <v>1168</v>
      </c>
      <c r="D295" s="10" t="s">
        <v>1878</v>
      </c>
      <c r="E295" s="10" t="s">
        <v>2061</v>
      </c>
      <c r="F295" s="10" t="s">
        <v>1878</v>
      </c>
      <c r="G295" s="14">
        <v>45004</v>
      </c>
      <c r="H295">
        <v>2023</v>
      </c>
      <c r="I295" s="10" t="s">
        <v>1878</v>
      </c>
      <c r="J295" s="10" t="s">
        <v>27</v>
      </c>
      <c r="K295" s="15">
        <v>171.29</v>
      </c>
    </row>
    <row r="296" spans="1:11" x14ac:dyDescent="0.35">
      <c r="A296" s="10" t="s">
        <v>1171</v>
      </c>
      <c r="B296" s="10" t="s">
        <v>461</v>
      </c>
      <c r="C296" s="10" t="s">
        <v>1172</v>
      </c>
      <c r="D296" s="10" t="s">
        <v>1878</v>
      </c>
      <c r="E296" s="10" t="s">
        <v>1173</v>
      </c>
      <c r="F296" s="10" t="s">
        <v>1878</v>
      </c>
      <c r="G296" s="14">
        <v>44878</v>
      </c>
      <c r="H296">
        <v>2022</v>
      </c>
      <c r="I296" s="10" t="s">
        <v>1878</v>
      </c>
      <c r="J296" s="10" t="s">
        <v>22</v>
      </c>
      <c r="K296" s="15">
        <v>3764.94</v>
      </c>
    </row>
    <row r="297" spans="1:11" x14ac:dyDescent="0.35">
      <c r="A297" s="10" t="s">
        <v>1175</v>
      </c>
      <c r="B297" s="10" t="s">
        <v>313</v>
      </c>
      <c r="C297" s="10" t="s">
        <v>1176</v>
      </c>
      <c r="D297" s="10" t="s">
        <v>1878</v>
      </c>
      <c r="E297" s="10" t="s">
        <v>2062</v>
      </c>
      <c r="F297" s="10" t="s">
        <v>1878</v>
      </c>
      <c r="G297" s="14">
        <v>44115</v>
      </c>
      <c r="H297">
        <v>2020</v>
      </c>
      <c r="I297" s="10" t="s">
        <v>1878</v>
      </c>
      <c r="J297" s="10" t="s">
        <v>29</v>
      </c>
      <c r="K297" s="15">
        <v>3169.95</v>
      </c>
    </row>
    <row r="298" spans="1:11" x14ac:dyDescent="0.35">
      <c r="A298" s="10" t="s">
        <v>1179</v>
      </c>
      <c r="B298" s="10" t="s">
        <v>1180</v>
      </c>
      <c r="C298" s="10" t="s">
        <v>1181</v>
      </c>
      <c r="D298" s="10" t="s">
        <v>1878</v>
      </c>
      <c r="E298" s="10" t="s">
        <v>2063</v>
      </c>
      <c r="F298" s="10" t="s">
        <v>1878</v>
      </c>
      <c r="G298" s="14">
        <v>44398</v>
      </c>
      <c r="H298">
        <v>2021</v>
      </c>
      <c r="I298" s="10" t="s">
        <v>1878</v>
      </c>
      <c r="J298" s="10" t="s">
        <v>26</v>
      </c>
      <c r="K298" s="15">
        <v>4117</v>
      </c>
    </row>
    <row r="299" spans="1:11" x14ac:dyDescent="0.35">
      <c r="A299" s="10" t="s">
        <v>1184</v>
      </c>
      <c r="B299" s="10" t="s">
        <v>1185</v>
      </c>
      <c r="C299" s="10" t="s">
        <v>2064</v>
      </c>
      <c r="D299" s="10" t="s">
        <v>1878</v>
      </c>
      <c r="E299" s="10" t="s">
        <v>2065</v>
      </c>
      <c r="F299" s="10" t="s">
        <v>1878</v>
      </c>
      <c r="G299" s="14">
        <v>44261</v>
      </c>
      <c r="H299">
        <v>2021</v>
      </c>
      <c r="I299" s="10" t="s">
        <v>1878</v>
      </c>
      <c r="J299" s="10" t="s">
        <v>29</v>
      </c>
      <c r="K299" s="15">
        <v>0</v>
      </c>
    </row>
    <row r="300" spans="1:11" x14ac:dyDescent="0.35">
      <c r="A300" s="10" t="s">
        <v>1189</v>
      </c>
      <c r="B300" s="10" t="s">
        <v>121</v>
      </c>
      <c r="C300" s="10" t="s">
        <v>1190</v>
      </c>
      <c r="D300" s="10" t="s">
        <v>1878</v>
      </c>
      <c r="E300" s="10" t="s">
        <v>1191</v>
      </c>
      <c r="F300" s="10" t="s">
        <v>1878</v>
      </c>
      <c r="G300" s="14">
        <v>43704</v>
      </c>
      <c r="H300">
        <v>2019</v>
      </c>
      <c r="I300" s="10" t="s">
        <v>1878</v>
      </c>
      <c r="J300" s="10" t="s">
        <v>27</v>
      </c>
      <c r="K300" s="15">
        <v>1249.74</v>
      </c>
    </row>
    <row r="301" spans="1:11" x14ac:dyDescent="0.35">
      <c r="A301" s="10" t="s">
        <v>1193</v>
      </c>
      <c r="B301" s="10" t="s">
        <v>230</v>
      </c>
      <c r="C301" s="10" t="s">
        <v>1194</v>
      </c>
      <c r="D301" s="10" t="s">
        <v>1878</v>
      </c>
      <c r="E301" s="10" t="s">
        <v>2066</v>
      </c>
      <c r="F301" s="10" t="s">
        <v>1878</v>
      </c>
      <c r="G301" s="17" t="s">
        <v>18</v>
      </c>
      <c r="I301" s="16" t="s">
        <v>18</v>
      </c>
      <c r="J301" s="10" t="s">
        <v>29</v>
      </c>
      <c r="K301" s="15">
        <v>3378.05</v>
      </c>
    </row>
    <row r="302" spans="1:11" x14ac:dyDescent="0.35">
      <c r="A302" s="10" t="s">
        <v>1196</v>
      </c>
      <c r="B302" s="10" t="s">
        <v>1197</v>
      </c>
      <c r="C302" s="10" t="s">
        <v>1198</v>
      </c>
      <c r="D302" s="10" t="s">
        <v>1878</v>
      </c>
      <c r="E302" s="10" t="s">
        <v>1199</v>
      </c>
      <c r="F302" s="10" t="s">
        <v>1878</v>
      </c>
      <c r="G302" s="14">
        <v>44885</v>
      </c>
      <c r="H302">
        <v>2022</v>
      </c>
      <c r="I302" s="10" t="s">
        <v>1878</v>
      </c>
      <c r="J302" s="10" t="s">
        <v>22</v>
      </c>
      <c r="K302" s="15">
        <v>2098</v>
      </c>
    </row>
    <row r="303" spans="1:11" x14ac:dyDescent="0.35">
      <c r="A303" s="10" t="s">
        <v>1201</v>
      </c>
      <c r="B303" s="10" t="s">
        <v>1202</v>
      </c>
      <c r="C303" s="10" t="s">
        <v>1203</v>
      </c>
      <c r="D303" s="10" t="s">
        <v>1878</v>
      </c>
      <c r="E303" s="10" t="s">
        <v>2067</v>
      </c>
      <c r="F303" s="10" t="s">
        <v>1878</v>
      </c>
      <c r="G303" s="14">
        <v>44088</v>
      </c>
      <c r="H303">
        <v>2020</v>
      </c>
      <c r="I303" s="10" t="s">
        <v>1878</v>
      </c>
      <c r="J303" s="10" t="s">
        <v>28</v>
      </c>
      <c r="K303" s="15">
        <v>3765.73</v>
      </c>
    </row>
    <row r="304" spans="1:11" x14ac:dyDescent="0.35">
      <c r="A304" s="10" t="s">
        <v>1206</v>
      </c>
      <c r="B304" s="10" t="s">
        <v>1114</v>
      </c>
      <c r="C304" s="10" t="s">
        <v>1207</v>
      </c>
      <c r="D304" s="10" t="s">
        <v>1878</v>
      </c>
      <c r="E304" s="10" t="s">
        <v>2068</v>
      </c>
      <c r="F304" s="10" t="s">
        <v>1878</v>
      </c>
      <c r="G304" s="14">
        <v>44853</v>
      </c>
      <c r="H304">
        <v>2022</v>
      </c>
      <c r="I304" s="10" t="s">
        <v>1878</v>
      </c>
      <c r="J304" s="10" t="s">
        <v>29</v>
      </c>
      <c r="K304" s="15">
        <v>151.1</v>
      </c>
    </row>
    <row r="305" spans="1:11" x14ac:dyDescent="0.35">
      <c r="A305" s="10" t="s">
        <v>1210</v>
      </c>
      <c r="B305" s="10" t="s">
        <v>1211</v>
      </c>
      <c r="C305" s="10" t="s">
        <v>1212</v>
      </c>
      <c r="D305" s="10" t="s">
        <v>1878</v>
      </c>
      <c r="E305" s="10" t="s">
        <v>2069</v>
      </c>
      <c r="F305" s="10" t="s">
        <v>1878</v>
      </c>
      <c r="G305" s="14">
        <v>44646</v>
      </c>
      <c r="H305">
        <v>2022</v>
      </c>
      <c r="I305" s="10" t="s">
        <v>1878</v>
      </c>
      <c r="J305" s="10" t="s">
        <v>20</v>
      </c>
      <c r="K305" s="15">
        <v>468.09</v>
      </c>
    </row>
    <row r="306" spans="1:11" x14ac:dyDescent="0.35">
      <c r="A306" s="10" t="s">
        <v>767</v>
      </c>
      <c r="B306" s="10" t="s">
        <v>75</v>
      </c>
      <c r="C306" s="10" t="s">
        <v>768</v>
      </c>
      <c r="D306" s="10" t="s">
        <v>1878</v>
      </c>
      <c r="E306" s="10" t="s">
        <v>1995</v>
      </c>
      <c r="F306" s="10" t="s">
        <v>1878</v>
      </c>
      <c r="G306" s="14">
        <v>44901</v>
      </c>
      <c r="H306">
        <v>2022</v>
      </c>
      <c r="I306" s="10" t="s">
        <v>1878</v>
      </c>
      <c r="J306" s="10" t="s">
        <v>27</v>
      </c>
      <c r="K306" s="15">
        <v>0</v>
      </c>
    </row>
    <row r="307" spans="1:11" x14ac:dyDescent="0.35">
      <c r="A307" s="10" t="s">
        <v>1215</v>
      </c>
      <c r="B307" s="10" t="s">
        <v>160</v>
      </c>
      <c r="C307" s="10" t="s">
        <v>1216</v>
      </c>
      <c r="D307" s="10" t="s">
        <v>1878</v>
      </c>
      <c r="E307" s="10" t="s">
        <v>2070</v>
      </c>
      <c r="F307" s="10" t="s">
        <v>1878</v>
      </c>
      <c r="G307" s="14">
        <v>45294</v>
      </c>
      <c r="H307">
        <v>2024</v>
      </c>
      <c r="I307" s="10" t="s">
        <v>1878</v>
      </c>
      <c r="J307" s="10" t="s">
        <v>24</v>
      </c>
      <c r="K307" s="15">
        <v>0</v>
      </c>
    </row>
    <row r="308" spans="1:11" x14ac:dyDescent="0.35">
      <c r="A308" s="10" t="s">
        <v>1109</v>
      </c>
      <c r="B308" s="10" t="s">
        <v>1110</v>
      </c>
      <c r="C308" s="10" t="s">
        <v>1111</v>
      </c>
      <c r="D308" s="10" t="s">
        <v>1878</v>
      </c>
      <c r="E308" s="10" t="s">
        <v>18</v>
      </c>
      <c r="F308" s="16" t="s">
        <v>18</v>
      </c>
      <c r="G308" s="14">
        <v>44365</v>
      </c>
      <c r="H308">
        <v>2021</v>
      </c>
      <c r="I308" s="10" t="s">
        <v>1878</v>
      </c>
      <c r="J308" s="10" t="s">
        <v>20</v>
      </c>
      <c r="K308" s="15">
        <v>2835</v>
      </c>
    </row>
    <row r="309" spans="1:11" x14ac:dyDescent="0.35">
      <c r="A309" s="10" t="s">
        <v>1219</v>
      </c>
      <c r="B309" s="10" t="s">
        <v>364</v>
      </c>
      <c r="C309" s="10" t="s">
        <v>1220</v>
      </c>
      <c r="D309" s="10" t="s">
        <v>1878</v>
      </c>
      <c r="E309" s="10" t="s">
        <v>2071</v>
      </c>
      <c r="F309" s="10" t="s">
        <v>1878</v>
      </c>
      <c r="G309" s="17" t="s">
        <v>18</v>
      </c>
      <c r="I309" s="16" t="s">
        <v>18</v>
      </c>
      <c r="J309" s="10" t="s">
        <v>26</v>
      </c>
      <c r="K309" s="15">
        <v>3042.35</v>
      </c>
    </row>
    <row r="310" spans="1:11" x14ac:dyDescent="0.35">
      <c r="A310" s="10" t="s">
        <v>1222</v>
      </c>
      <c r="B310" s="10" t="s">
        <v>601</v>
      </c>
      <c r="C310" s="10" t="s">
        <v>1223</v>
      </c>
      <c r="D310" s="10" t="s">
        <v>1878</v>
      </c>
      <c r="E310" s="10" t="s">
        <v>2072</v>
      </c>
      <c r="F310" s="10" t="s">
        <v>1878</v>
      </c>
      <c r="G310" s="14">
        <v>44248</v>
      </c>
      <c r="H310">
        <v>2021</v>
      </c>
      <c r="I310" s="10" t="s">
        <v>1878</v>
      </c>
      <c r="J310" s="10" t="s">
        <v>24</v>
      </c>
      <c r="K310" s="15">
        <v>1760</v>
      </c>
    </row>
    <row r="311" spans="1:11" x14ac:dyDescent="0.35">
      <c r="A311" s="10" t="s">
        <v>1226</v>
      </c>
      <c r="B311" s="10" t="s">
        <v>212</v>
      </c>
      <c r="C311" s="10" t="s">
        <v>1227</v>
      </c>
      <c r="D311" s="10" t="s">
        <v>1878</v>
      </c>
      <c r="E311" s="10" t="s">
        <v>2073</v>
      </c>
      <c r="F311" s="10" t="s">
        <v>1878</v>
      </c>
      <c r="G311" s="14">
        <v>44421</v>
      </c>
      <c r="H311">
        <v>2021</v>
      </c>
      <c r="I311" s="10" t="s">
        <v>1878</v>
      </c>
      <c r="J311" s="10" t="s">
        <v>26</v>
      </c>
      <c r="K311" s="15">
        <v>4186.21</v>
      </c>
    </row>
    <row r="312" spans="1:11" x14ac:dyDescent="0.35">
      <c r="A312" s="10" t="s">
        <v>1230</v>
      </c>
      <c r="B312" s="10" t="s">
        <v>520</v>
      </c>
      <c r="C312" s="10" t="s">
        <v>1231</v>
      </c>
      <c r="D312" s="10" t="s">
        <v>1878</v>
      </c>
      <c r="E312" s="10" t="s">
        <v>1232</v>
      </c>
      <c r="F312" s="10" t="s">
        <v>1878</v>
      </c>
      <c r="G312" s="17" t="s">
        <v>18</v>
      </c>
      <c r="I312" s="16" t="s">
        <v>18</v>
      </c>
      <c r="J312" s="10" t="s">
        <v>26</v>
      </c>
      <c r="K312" s="15">
        <v>4062.54</v>
      </c>
    </row>
    <row r="313" spans="1:11" x14ac:dyDescent="0.35">
      <c r="A313" s="10" t="s">
        <v>1233</v>
      </c>
      <c r="B313" s="10" t="s">
        <v>979</v>
      </c>
      <c r="C313" s="10" t="s">
        <v>1234</v>
      </c>
      <c r="D313" s="10" t="s">
        <v>1878</v>
      </c>
      <c r="E313" s="10" t="s">
        <v>18</v>
      </c>
      <c r="F313" s="16" t="s">
        <v>18</v>
      </c>
      <c r="G313" s="14">
        <v>43563</v>
      </c>
      <c r="H313">
        <v>2019</v>
      </c>
      <c r="I313" s="10" t="s">
        <v>1878</v>
      </c>
      <c r="J313" s="10" t="s">
        <v>29</v>
      </c>
      <c r="K313" s="15">
        <v>2138.4899999999998</v>
      </c>
    </row>
    <row r="314" spans="1:11" x14ac:dyDescent="0.35">
      <c r="A314" s="10" t="s">
        <v>1236</v>
      </c>
      <c r="B314" s="10" t="s">
        <v>1237</v>
      </c>
      <c r="C314" s="10" t="s">
        <v>1238</v>
      </c>
      <c r="D314" s="10" t="s">
        <v>1878</v>
      </c>
      <c r="E314" s="10" t="s">
        <v>1239</v>
      </c>
      <c r="F314" s="10" t="s">
        <v>1878</v>
      </c>
      <c r="G314" s="14">
        <v>44812</v>
      </c>
      <c r="H314">
        <v>2022</v>
      </c>
      <c r="I314" s="10" t="s">
        <v>1878</v>
      </c>
      <c r="J314" s="10" t="s">
        <v>20</v>
      </c>
      <c r="K314" s="15">
        <v>-4371</v>
      </c>
    </row>
    <row r="315" spans="1:11" x14ac:dyDescent="0.35">
      <c r="A315" s="10" t="s">
        <v>1241</v>
      </c>
      <c r="B315" s="10" t="s">
        <v>40</v>
      </c>
      <c r="C315" s="10" t="s">
        <v>1242</v>
      </c>
      <c r="D315" s="10" t="s">
        <v>1878</v>
      </c>
      <c r="E315" s="10" t="s">
        <v>1243</v>
      </c>
      <c r="F315" s="10" t="s">
        <v>1878</v>
      </c>
      <c r="G315" s="17" t="s">
        <v>18</v>
      </c>
      <c r="I315" s="16" t="s">
        <v>18</v>
      </c>
      <c r="J315" s="10" t="s">
        <v>29</v>
      </c>
      <c r="K315" s="15">
        <v>2119.5100000000002</v>
      </c>
    </row>
    <row r="316" spans="1:11" x14ac:dyDescent="0.35">
      <c r="A316" s="10" t="s">
        <v>1244</v>
      </c>
      <c r="B316" s="10" t="s">
        <v>490</v>
      </c>
      <c r="C316" s="10" t="s">
        <v>1245</v>
      </c>
      <c r="D316" s="10" t="s">
        <v>1878</v>
      </c>
      <c r="E316" s="10" t="s">
        <v>1246</v>
      </c>
      <c r="F316" s="10" t="s">
        <v>1878</v>
      </c>
      <c r="G316" s="14">
        <v>45218</v>
      </c>
      <c r="H316">
        <v>2023</v>
      </c>
      <c r="I316" s="10" t="s">
        <v>1878</v>
      </c>
      <c r="J316" s="10" t="s">
        <v>28</v>
      </c>
      <c r="K316" s="15">
        <v>4803.68</v>
      </c>
    </row>
    <row r="317" spans="1:11" x14ac:dyDescent="0.35">
      <c r="A317" s="10" t="s">
        <v>130</v>
      </c>
      <c r="B317" s="10" t="s">
        <v>131</v>
      </c>
      <c r="C317" s="10" t="s">
        <v>1896</v>
      </c>
      <c r="D317" s="10" t="s">
        <v>1878</v>
      </c>
      <c r="E317" s="10" t="s">
        <v>1897</v>
      </c>
      <c r="F317" s="10" t="s">
        <v>1878</v>
      </c>
      <c r="G317" s="14">
        <v>44456</v>
      </c>
      <c r="H317">
        <v>2021</v>
      </c>
      <c r="I317" s="10" t="s">
        <v>1878</v>
      </c>
      <c r="J317" s="10" t="s">
        <v>26</v>
      </c>
      <c r="K317" s="15">
        <v>649.17999999999995</v>
      </c>
    </row>
    <row r="318" spans="1:11" x14ac:dyDescent="0.35">
      <c r="A318" s="10" t="s">
        <v>1248</v>
      </c>
      <c r="B318" s="10" t="s">
        <v>1249</v>
      </c>
      <c r="C318" s="10" t="s">
        <v>1250</v>
      </c>
      <c r="D318" s="10" t="s">
        <v>1878</v>
      </c>
      <c r="E318" s="10" t="s">
        <v>2074</v>
      </c>
      <c r="F318" s="10" t="s">
        <v>1878</v>
      </c>
      <c r="G318" s="14">
        <v>44987</v>
      </c>
      <c r="H318">
        <v>2023</v>
      </c>
      <c r="I318" s="10" t="s">
        <v>1878</v>
      </c>
      <c r="J318" s="10" t="s">
        <v>20</v>
      </c>
      <c r="K318" s="15">
        <v>0</v>
      </c>
    </row>
    <row r="319" spans="1:11" x14ac:dyDescent="0.35">
      <c r="A319" s="10" t="s">
        <v>1253</v>
      </c>
      <c r="B319" s="10" t="s">
        <v>164</v>
      </c>
      <c r="C319" s="10" t="s">
        <v>1254</v>
      </c>
      <c r="D319" s="10" t="s">
        <v>1878</v>
      </c>
      <c r="E319" s="10" t="s">
        <v>1255</v>
      </c>
      <c r="F319" s="10" t="s">
        <v>1878</v>
      </c>
      <c r="G319" s="14">
        <v>44522</v>
      </c>
      <c r="H319">
        <v>2021</v>
      </c>
      <c r="I319" s="10" t="s">
        <v>1878</v>
      </c>
      <c r="J319" s="10" t="s">
        <v>26</v>
      </c>
      <c r="K319" s="15">
        <v>3909.09</v>
      </c>
    </row>
    <row r="320" spans="1:11" x14ac:dyDescent="0.35">
      <c r="A320" s="10" t="s">
        <v>1257</v>
      </c>
      <c r="B320" s="10" t="s">
        <v>385</v>
      </c>
      <c r="C320" s="10" t="s">
        <v>1258</v>
      </c>
      <c r="D320" s="10" t="s">
        <v>1878</v>
      </c>
      <c r="E320" s="10" t="s">
        <v>1259</v>
      </c>
      <c r="F320" s="10" t="s">
        <v>1878</v>
      </c>
      <c r="G320" s="17" t="s">
        <v>18</v>
      </c>
      <c r="I320" s="16" t="s">
        <v>18</v>
      </c>
      <c r="J320" s="10" t="s">
        <v>26</v>
      </c>
      <c r="K320" s="15">
        <v>1956.29</v>
      </c>
    </row>
    <row r="321" spans="1:11" x14ac:dyDescent="0.35">
      <c r="A321" s="10" t="s">
        <v>1260</v>
      </c>
      <c r="B321" s="10" t="s">
        <v>262</v>
      </c>
      <c r="C321" s="10" t="s">
        <v>1261</v>
      </c>
      <c r="D321" s="10" t="s">
        <v>1878</v>
      </c>
      <c r="E321" s="10" t="s">
        <v>18</v>
      </c>
      <c r="F321" s="16" t="s">
        <v>18</v>
      </c>
      <c r="G321" s="17" t="s">
        <v>18</v>
      </c>
      <c r="I321" s="16" t="s">
        <v>18</v>
      </c>
      <c r="J321" s="10" t="s">
        <v>28</v>
      </c>
      <c r="K321" s="15">
        <v>3462.92</v>
      </c>
    </row>
    <row r="322" spans="1:11" x14ac:dyDescent="0.35">
      <c r="A322" s="10" t="s">
        <v>1262</v>
      </c>
      <c r="B322" s="10" t="s">
        <v>262</v>
      </c>
      <c r="C322" s="10" t="s">
        <v>1263</v>
      </c>
      <c r="D322" s="10" t="s">
        <v>1878</v>
      </c>
      <c r="E322" s="10" t="s">
        <v>2075</v>
      </c>
      <c r="F322" s="10" t="s">
        <v>1878</v>
      </c>
      <c r="G322" s="17" t="s">
        <v>18</v>
      </c>
      <c r="I322" s="16" t="s">
        <v>18</v>
      </c>
      <c r="J322" s="10" t="s">
        <v>29</v>
      </c>
      <c r="K322" s="15">
        <v>118</v>
      </c>
    </row>
    <row r="323" spans="1:11" x14ac:dyDescent="0.35">
      <c r="A323" s="10" t="s">
        <v>1265</v>
      </c>
      <c r="B323" s="10" t="s">
        <v>160</v>
      </c>
      <c r="C323" s="10" t="s">
        <v>1266</v>
      </c>
      <c r="D323" s="10" t="s">
        <v>1878</v>
      </c>
      <c r="E323" s="10" t="s">
        <v>1267</v>
      </c>
      <c r="F323" s="10" t="s">
        <v>1878</v>
      </c>
      <c r="G323" s="17" t="s">
        <v>18</v>
      </c>
      <c r="I323" s="16" t="s">
        <v>18</v>
      </c>
      <c r="J323" s="10" t="s">
        <v>24</v>
      </c>
      <c r="K323" s="15">
        <v>1180.6300000000001</v>
      </c>
    </row>
    <row r="324" spans="1:11" x14ac:dyDescent="0.35">
      <c r="A324" s="10" t="s">
        <v>1268</v>
      </c>
      <c r="B324" s="10" t="s">
        <v>164</v>
      </c>
      <c r="C324" s="10" t="s">
        <v>1269</v>
      </c>
      <c r="D324" s="10" t="s">
        <v>1878</v>
      </c>
      <c r="E324" s="10" t="s">
        <v>18</v>
      </c>
      <c r="F324" s="16" t="s">
        <v>18</v>
      </c>
      <c r="G324" s="14">
        <v>44773</v>
      </c>
      <c r="H324">
        <v>2022</v>
      </c>
      <c r="I324" s="10" t="s">
        <v>1878</v>
      </c>
      <c r="J324" s="10" t="s">
        <v>28</v>
      </c>
      <c r="K324" s="15">
        <v>1367.8</v>
      </c>
    </row>
    <row r="325" spans="1:11" x14ac:dyDescent="0.35">
      <c r="A325" s="10" t="s">
        <v>1271</v>
      </c>
      <c r="B325" s="10" t="s">
        <v>726</v>
      </c>
      <c r="C325" s="10" t="s">
        <v>18</v>
      </c>
      <c r="D325" s="16" t="s">
        <v>18</v>
      </c>
      <c r="E325" s="10" t="s">
        <v>1272</v>
      </c>
      <c r="F325" s="10" t="s">
        <v>1878</v>
      </c>
      <c r="G325" s="14">
        <v>44500</v>
      </c>
      <c r="H325">
        <v>2021</v>
      </c>
      <c r="I325" s="10" t="s">
        <v>1878</v>
      </c>
      <c r="J325" s="10" t="s">
        <v>26</v>
      </c>
      <c r="K325" s="15">
        <v>1344.32</v>
      </c>
    </row>
    <row r="326" spans="1:11" x14ac:dyDescent="0.35">
      <c r="A326" s="10" t="s">
        <v>1274</v>
      </c>
      <c r="B326" s="10" t="s">
        <v>1275</v>
      </c>
      <c r="C326" s="10" t="s">
        <v>1276</v>
      </c>
      <c r="D326" s="10" t="s">
        <v>1878</v>
      </c>
      <c r="E326" s="10" t="s">
        <v>2076</v>
      </c>
      <c r="F326" s="10" t="s">
        <v>1878</v>
      </c>
      <c r="G326" s="14">
        <v>43838</v>
      </c>
      <c r="H326">
        <v>2020</v>
      </c>
      <c r="I326" s="10" t="s">
        <v>1878</v>
      </c>
      <c r="J326" s="10" t="s">
        <v>28</v>
      </c>
      <c r="K326" s="15">
        <v>3497.4</v>
      </c>
    </row>
    <row r="327" spans="1:11" x14ac:dyDescent="0.35">
      <c r="A327" s="10" t="s">
        <v>1279</v>
      </c>
      <c r="B327" s="10" t="s">
        <v>346</v>
      </c>
      <c r="C327" s="10" t="s">
        <v>1280</v>
      </c>
      <c r="D327" s="10" t="s">
        <v>1878</v>
      </c>
      <c r="E327" s="10" t="s">
        <v>2077</v>
      </c>
      <c r="F327" s="10" t="s">
        <v>1878</v>
      </c>
      <c r="G327" s="14">
        <v>45505</v>
      </c>
      <c r="H327">
        <v>2024</v>
      </c>
      <c r="I327" s="10" t="s">
        <v>1878</v>
      </c>
      <c r="J327" s="10" t="s">
        <v>27</v>
      </c>
      <c r="K327" s="15">
        <v>4900.29</v>
      </c>
    </row>
    <row r="328" spans="1:11" x14ac:dyDescent="0.35">
      <c r="A328" s="10" t="s">
        <v>1283</v>
      </c>
      <c r="B328" s="10" t="s">
        <v>85</v>
      </c>
      <c r="C328" s="10" t="s">
        <v>1284</v>
      </c>
      <c r="D328" s="10" t="s">
        <v>1878</v>
      </c>
      <c r="E328" s="10" t="s">
        <v>2078</v>
      </c>
      <c r="F328" s="10" t="s">
        <v>1878</v>
      </c>
      <c r="G328" s="14">
        <v>43691</v>
      </c>
      <c r="H328">
        <v>2019</v>
      </c>
      <c r="I328" s="10" t="s">
        <v>1878</v>
      </c>
      <c r="J328" s="10" t="s">
        <v>24</v>
      </c>
      <c r="K328" s="15">
        <v>2093.8200000000002</v>
      </c>
    </row>
    <row r="329" spans="1:11" x14ac:dyDescent="0.35">
      <c r="A329" s="10" t="s">
        <v>1287</v>
      </c>
      <c r="B329" s="10" t="s">
        <v>1202</v>
      </c>
      <c r="C329" s="10" t="s">
        <v>1288</v>
      </c>
      <c r="D329" s="10" t="s">
        <v>1878</v>
      </c>
      <c r="E329" s="10" t="s">
        <v>2079</v>
      </c>
      <c r="F329" s="10" t="s">
        <v>1878</v>
      </c>
      <c r="G329" s="14">
        <v>44133</v>
      </c>
      <c r="H329">
        <v>2020</v>
      </c>
      <c r="I329" s="10" t="s">
        <v>1878</v>
      </c>
      <c r="J329" s="10" t="s">
        <v>26</v>
      </c>
      <c r="K329" s="15">
        <v>4774.6400000000003</v>
      </c>
    </row>
    <row r="330" spans="1:11" x14ac:dyDescent="0.35">
      <c r="A330" s="10" t="s">
        <v>1291</v>
      </c>
      <c r="B330" s="10" t="s">
        <v>182</v>
      </c>
      <c r="C330" s="10" t="s">
        <v>1292</v>
      </c>
      <c r="D330" s="10" t="s">
        <v>1878</v>
      </c>
      <c r="E330" s="10" t="s">
        <v>2080</v>
      </c>
      <c r="F330" s="10" t="s">
        <v>1878</v>
      </c>
      <c r="G330" s="14">
        <v>45285</v>
      </c>
      <c r="H330">
        <v>2023</v>
      </c>
      <c r="I330" s="10" t="s">
        <v>1878</v>
      </c>
      <c r="J330" s="10" t="s">
        <v>24</v>
      </c>
      <c r="K330" s="15">
        <v>0</v>
      </c>
    </row>
    <row r="331" spans="1:11" x14ac:dyDescent="0.35">
      <c r="A331" s="10" t="s">
        <v>1294</v>
      </c>
      <c r="B331" s="10" t="s">
        <v>354</v>
      </c>
      <c r="C331" s="10" t="s">
        <v>1295</v>
      </c>
      <c r="D331" s="10" t="s">
        <v>1878</v>
      </c>
      <c r="E331" s="10" t="s">
        <v>2081</v>
      </c>
      <c r="F331" s="10" t="s">
        <v>1878</v>
      </c>
      <c r="G331" s="14">
        <v>43561</v>
      </c>
      <c r="H331">
        <v>2019</v>
      </c>
      <c r="I331" s="10" t="s">
        <v>1878</v>
      </c>
      <c r="J331" s="10" t="s">
        <v>20</v>
      </c>
      <c r="K331" s="15">
        <v>0</v>
      </c>
    </row>
    <row r="332" spans="1:11" x14ac:dyDescent="0.35">
      <c r="A332" s="10" t="s">
        <v>1298</v>
      </c>
      <c r="B332" s="10" t="s">
        <v>220</v>
      </c>
      <c r="C332" s="10" t="s">
        <v>1299</v>
      </c>
      <c r="D332" s="10" t="s">
        <v>1878</v>
      </c>
      <c r="E332" s="10" t="s">
        <v>2082</v>
      </c>
      <c r="F332" s="10" t="s">
        <v>1878</v>
      </c>
      <c r="G332" s="14">
        <v>44759</v>
      </c>
      <c r="H332">
        <v>2022</v>
      </c>
      <c r="I332" s="10" t="s">
        <v>1878</v>
      </c>
      <c r="J332" s="10" t="s">
        <v>20</v>
      </c>
      <c r="K332" s="15">
        <v>2806.92</v>
      </c>
    </row>
    <row r="333" spans="1:11" x14ac:dyDescent="0.35">
      <c r="A333" s="10" t="s">
        <v>1302</v>
      </c>
      <c r="B333" s="10" t="s">
        <v>637</v>
      </c>
      <c r="C333" s="10" t="s">
        <v>18</v>
      </c>
      <c r="D333" s="16" t="s">
        <v>18</v>
      </c>
      <c r="E333" s="10" t="s">
        <v>2083</v>
      </c>
      <c r="F333" s="10" t="s">
        <v>1878</v>
      </c>
      <c r="G333" s="14">
        <v>43887</v>
      </c>
      <c r="H333">
        <v>2020</v>
      </c>
      <c r="I333" s="10" t="s">
        <v>1878</v>
      </c>
      <c r="J333" s="10" t="s">
        <v>29</v>
      </c>
      <c r="K333" s="15">
        <v>4901.4799999999996</v>
      </c>
    </row>
    <row r="334" spans="1:11" x14ac:dyDescent="0.35">
      <c r="A334" s="10" t="s">
        <v>1305</v>
      </c>
      <c r="B334" s="10" t="s">
        <v>45</v>
      </c>
      <c r="C334" s="10" t="s">
        <v>1306</v>
      </c>
      <c r="D334" s="10" t="s">
        <v>1878</v>
      </c>
      <c r="E334" s="10" t="s">
        <v>2084</v>
      </c>
      <c r="F334" s="10" t="s">
        <v>1878</v>
      </c>
      <c r="G334" s="14">
        <v>44434</v>
      </c>
      <c r="H334">
        <v>2021</v>
      </c>
      <c r="I334" s="10" t="s">
        <v>1878</v>
      </c>
      <c r="J334" s="10" t="s">
        <v>26</v>
      </c>
      <c r="K334" s="15">
        <v>4567.18</v>
      </c>
    </row>
    <row r="335" spans="1:11" x14ac:dyDescent="0.35">
      <c r="A335" s="10" t="s">
        <v>1308</v>
      </c>
      <c r="B335" s="10" t="s">
        <v>632</v>
      </c>
      <c r="C335" s="10" t="s">
        <v>1309</v>
      </c>
      <c r="D335" s="10" t="s">
        <v>1878</v>
      </c>
      <c r="E335" s="10" t="s">
        <v>2085</v>
      </c>
      <c r="F335" s="10" t="s">
        <v>1878</v>
      </c>
      <c r="G335" s="14">
        <v>45222</v>
      </c>
      <c r="H335">
        <v>2023</v>
      </c>
      <c r="I335" s="10" t="s">
        <v>1878</v>
      </c>
      <c r="J335" s="10" t="s">
        <v>22</v>
      </c>
      <c r="K335" s="15">
        <v>4153.13</v>
      </c>
    </row>
    <row r="336" spans="1:11" x14ac:dyDescent="0.35">
      <c r="A336" s="10" t="s">
        <v>1312</v>
      </c>
      <c r="B336" s="10" t="s">
        <v>1313</v>
      </c>
      <c r="C336" s="10" t="s">
        <v>1314</v>
      </c>
      <c r="D336" s="10" t="s">
        <v>1878</v>
      </c>
      <c r="E336" s="10" t="s">
        <v>18</v>
      </c>
      <c r="F336" s="16" t="s">
        <v>18</v>
      </c>
      <c r="G336" s="14">
        <v>44795</v>
      </c>
      <c r="H336">
        <v>2022</v>
      </c>
      <c r="I336" s="10" t="s">
        <v>1878</v>
      </c>
      <c r="J336" s="10" t="s">
        <v>26</v>
      </c>
      <c r="K336" s="15">
        <v>4565.34</v>
      </c>
    </row>
    <row r="337" spans="1:11" x14ac:dyDescent="0.35">
      <c r="A337" s="10" t="s">
        <v>1316</v>
      </c>
      <c r="B337" s="10" t="s">
        <v>1317</v>
      </c>
      <c r="C337" s="10" t="s">
        <v>18</v>
      </c>
      <c r="D337" s="16" t="s">
        <v>18</v>
      </c>
      <c r="E337" s="10" t="s">
        <v>2086</v>
      </c>
      <c r="F337" s="10" t="s">
        <v>1878</v>
      </c>
      <c r="G337" s="17" t="s">
        <v>18</v>
      </c>
      <c r="I337" s="16" t="s">
        <v>18</v>
      </c>
      <c r="J337" s="10" t="s">
        <v>28</v>
      </c>
      <c r="K337" s="15">
        <v>2049.11</v>
      </c>
    </row>
    <row r="338" spans="1:11" x14ac:dyDescent="0.35">
      <c r="A338" s="10" t="s">
        <v>1319</v>
      </c>
      <c r="B338" s="10" t="s">
        <v>70</v>
      </c>
      <c r="C338" s="10" t="s">
        <v>1320</v>
      </c>
      <c r="D338" s="10" t="s">
        <v>1878</v>
      </c>
      <c r="E338" s="10" t="s">
        <v>2087</v>
      </c>
      <c r="F338" s="10" t="s">
        <v>1878</v>
      </c>
      <c r="G338" s="14">
        <v>44510</v>
      </c>
      <c r="H338">
        <v>2021</v>
      </c>
      <c r="I338" s="10" t="s">
        <v>1878</v>
      </c>
      <c r="J338" s="10" t="s">
        <v>28</v>
      </c>
      <c r="K338" s="15">
        <v>447.23</v>
      </c>
    </row>
    <row r="339" spans="1:11" x14ac:dyDescent="0.35">
      <c r="A339" s="10" t="s">
        <v>1323</v>
      </c>
      <c r="B339" s="10" t="s">
        <v>450</v>
      </c>
      <c r="C339" s="10" t="s">
        <v>1324</v>
      </c>
      <c r="D339" s="10" t="s">
        <v>1878</v>
      </c>
      <c r="E339" s="10" t="s">
        <v>18</v>
      </c>
      <c r="F339" s="16" t="s">
        <v>18</v>
      </c>
      <c r="G339" s="14">
        <v>43759</v>
      </c>
      <c r="H339">
        <v>2019</v>
      </c>
      <c r="I339" s="10" t="s">
        <v>1878</v>
      </c>
      <c r="J339" s="10" t="s">
        <v>26</v>
      </c>
      <c r="K339" s="15">
        <v>2797.38</v>
      </c>
    </row>
    <row r="340" spans="1:11" x14ac:dyDescent="0.35">
      <c r="A340" s="10" t="s">
        <v>1326</v>
      </c>
      <c r="B340" s="10" t="s">
        <v>979</v>
      </c>
      <c r="C340" s="10" t="s">
        <v>18</v>
      </c>
      <c r="D340" s="16" t="s">
        <v>18</v>
      </c>
      <c r="E340" s="10" t="s">
        <v>2088</v>
      </c>
      <c r="F340" s="10" t="s">
        <v>1878</v>
      </c>
      <c r="G340" s="14">
        <v>43499</v>
      </c>
      <c r="H340">
        <v>2019</v>
      </c>
      <c r="I340" s="10" t="s">
        <v>1878</v>
      </c>
      <c r="J340" s="10" t="s">
        <v>28</v>
      </c>
      <c r="K340" s="15">
        <v>3311.99</v>
      </c>
    </row>
    <row r="341" spans="1:11" x14ac:dyDescent="0.35">
      <c r="A341" s="10" t="s">
        <v>707</v>
      </c>
      <c r="B341" s="10" t="s">
        <v>708</v>
      </c>
      <c r="C341" s="10" t="s">
        <v>709</v>
      </c>
      <c r="D341" s="10" t="s">
        <v>1878</v>
      </c>
      <c r="E341" s="10" t="s">
        <v>1984</v>
      </c>
      <c r="F341" s="10" t="s">
        <v>1878</v>
      </c>
      <c r="G341" s="14">
        <v>44933</v>
      </c>
      <c r="H341">
        <v>2023</v>
      </c>
      <c r="I341" s="10" t="s">
        <v>1878</v>
      </c>
      <c r="J341" s="10" t="s">
        <v>22</v>
      </c>
      <c r="K341" s="15">
        <v>681.21</v>
      </c>
    </row>
    <row r="342" spans="1:11" x14ac:dyDescent="0.35">
      <c r="A342" s="10" t="s">
        <v>1329</v>
      </c>
      <c r="B342" s="10" t="s">
        <v>1237</v>
      </c>
      <c r="C342" s="10" t="s">
        <v>1330</v>
      </c>
      <c r="D342" s="10" t="s">
        <v>1878</v>
      </c>
      <c r="E342" s="10" t="s">
        <v>2089</v>
      </c>
      <c r="F342" s="10" t="s">
        <v>1878</v>
      </c>
      <c r="G342" s="14">
        <v>43544</v>
      </c>
      <c r="H342">
        <v>2019</v>
      </c>
      <c r="I342" s="10" t="s">
        <v>1878</v>
      </c>
      <c r="J342" s="10" t="s">
        <v>29</v>
      </c>
      <c r="K342" s="15">
        <v>2119.9</v>
      </c>
    </row>
    <row r="343" spans="1:11" x14ac:dyDescent="0.35">
      <c r="A343" s="10" t="s">
        <v>1333</v>
      </c>
      <c r="B343" s="10" t="s">
        <v>795</v>
      </c>
      <c r="C343" s="10" t="s">
        <v>1334</v>
      </c>
      <c r="D343" s="10" t="s">
        <v>1878</v>
      </c>
      <c r="E343" s="10" t="s">
        <v>2090</v>
      </c>
      <c r="F343" s="10" t="s">
        <v>1878</v>
      </c>
      <c r="G343" s="14">
        <v>43582</v>
      </c>
      <c r="H343">
        <v>2019</v>
      </c>
      <c r="I343" s="10" t="s">
        <v>1878</v>
      </c>
      <c r="J343" s="10" t="s">
        <v>26</v>
      </c>
      <c r="K343" s="15">
        <v>-2401</v>
      </c>
    </row>
    <row r="344" spans="1:11" x14ac:dyDescent="0.35">
      <c r="A344" s="10" t="s">
        <v>1337</v>
      </c>
      <c r="B344" s="10" t="s">
        <v>1338</v>
      </c>
      <c r="C344" s="10" t="s">
        <v>18</v>
      </c>
      <c r="D344" s="16" t="s">
        <v>18</v>
      </c>
      <c r="E344" s="10" t="s">
        <v>18</v>
      </c>
      <c r="F344" s="16" t="s">
        <v>18</v>
      </c>
      <c r="G344" s="14">
        <v>45258</v>
      </c>
      <c r="H344">
        <v>2023</v>
      </c>
      <c r="I344" s="10" t="s">
        <v>1878</v>
      </c>
      <c r="J344" s="10" t="s">
        <v>22</v>
      </c>
      <c r="K344" s="15">
        <v>423.68</v>
      </c>
    </row>
    <row r="345" spans="1:11" x14ac:dyDescent="0.35">
      <c r="A345" s="10" t="s">
        <v>1340</v>
      </c>
      <c r="B345" s="10" t="s">
        <v>520</v>
      </c>
      <c r="C345" s="10" t="s">
        <v>1341</v>
      </c>
      <c r="D345" s="10" t="s">
        <v>1878</v>
      </c>
      <c r="E345" s="10" t="s">
        <v>1342</v>
      </c>
      <c r="F345" s="10" t="s">
        <v>1878</v>
      </c>
      <c r="G345" s="17" t="s">
        <v>18</v>
      </c>
      <c r="I345" s="16" t="s">
        <v>18</v>
      </c>
      <c r="J345" s="10" t="s">
        <v>27</v>
      </c>
      <c r="K345" s="15">
        <v>2880</v>
      </c>
    </row>
    <row r="346" spans="1:11" x14ac:dyDescent="0.35">
      <c r="A346" s="10" t="s">
        <v>1343</v>
      </c>
      <c r="B346" s="10" t="s">
        <v>1275</v>
      </c>
      <c r="C346" s="10" t="s">
        <v>1344</v>
      </c>
      <c r="D346" s="10" t="s">
        <v>1878</v>
      </c>
      <c r="E346" s="10" t="s">
        <v>1345</v>
      </c>
      <c r="F346" s="10" t="s">
        <v>1878</v>
      </c>
      <c r="G346" s="17" t="s">
        <v>18</v>
      </c>
      <c r="I346" s="16" t="s">
        <v>18</v>
      </c>
      <c r="J346" s="10" t="s">
        <v>29</v>
      </c>
      <c r="K346" s="15">
        <v>3779.31</v>
      </c>
    </row>
    <row r="347" spans="1:11" x14ac:dyDescent="0.35">
      <c r="A347" s="10" t="s">
        <v>1346</v>
      </c>
      <c r="B347" s="10" t="s">
        <v>1055</v>
      </c>
      <c r="C347" s="10" t="s">
        <v>1347</v>
      </c>
      <c r="D347" s="10" t="s">
        <v>1878</v>
      </c>
      <c r="E347" s="10" t="s">
        <v>1348</v>
      </c>
      <c r="F347" s="10" t="s">
        <v>1878</v>
      </c>
      <c r="G347" s="17" t="s">
        <v>18</v>
      </c>
      <c r="I347" s="16" t="s">
        <v>18</v>
      </c>
      <c r="J347" s="10" t="s">
        <v>29</v>
      </c>
      <c r="K347" s="15">
        <v>3851.83</v>
      </c>
    </row>
    <row r="348" spans="1:11" x14ac:dyDescent="0.35">
      <c r="A348" s="10" t="s">
        <v>1349</v>
      </c>
      <c r="B348" s="10" t="s">
        <v>708</v>
      </c>
      <c r="C348" s="10" t="s">
        <v>18</v>
      </c>
      <c r="D348" s="16" t="s">
        <v>18</v>
      </c>
      <c r="E348" s="10" t="s">
        <v>2091</v>
      </c>
      <c r="F348" s="10" t="s">
        <v>1878</v>
      </c>
      <c r="G348" s="14">
        <v>43884</v>
      </c>
      <c r="H348">
        <v>2020</v>
      </c>
      <c r="I348" s="10" t="s">
        <v>1878</v>
      </c>
      <c r="J348" s="10" t="s">
        <v>22</v>
      </c>
      <c r="K348" s="15">
        <v>4549.42</v>
      </c>
    </row>
    <row r="349" spans="1:11" x14ac:dyDescent="0.35">
      <c r="A349" s="10" t="s">
        <v>1352</v>
      </c>
      <c r="B349" s="10" t="s">
        <v>1353</v>
      </c>
      <c r="C349" s="10" t="s">
        <v>1354</v>
      </c>
      <c r="D349" s="10" t="s">
        <v>1878</v>
      </c>
      <c r="E349" s="10" t="s">
        <v>2092</v>
      </c>
      <c r="F349" s="10" t="s">
        <v>1878</v>
      </c>
      <c r="G349" s="14">
        <v>45026</v>
      </c>
      <c r="H349">
        <v>2023</v>
      </c>
      <c r="I349" s="10" t="s">
        <v>1878</v>
      </c>
      <c r="J349" s="10" t="s">
        <v>22</v>
      </c>
      <c r="K349" s="15">
        <v>1814.29</v>
      </c>
    </row>
    <row r="350" spans="1:11" x14ac:dyDescent="0.35">
      <c r="A350" s="10" t="s">
        <v>1357</v>
      </c>
      <c r="B350" s="10" t="s">
        <v>1249</v>
      </c>
      <c r="C350" s="10" t="s">
        <v>1358</v>
      </c>
      <c r="D350" s="10" t="s">
        <v>1878</v>
      </c>
      <c r="E350" s="10" t="s">
        <v>2093</v>
      </c>
      <c r="F350" s="10" t="s">
        <v>1878</v>
      </c>
      <c r="G350" s="14">
        <v>44644</v>
      </c>
      <c r="H350">
        <v>2022</v>
      </c>
      <c r="I350" s="10" t="s">
        <v>1878</v>
      </c>
      <c r="J350" s="10" t="s">
        <v>29</v>
      </c>
      <c r="K350" s="15">
        <v>2667.21</v>
      </c>
    </row>
    <row r="351" spans="1:11" x14ac:dyDescent="0.35">
      <c r="A351" s="10" t="s">
        <v>1361</v>
      </c>
      <c r="B351" s="10" t="s">
        <v>195</v>
      </c>
      <c r="C351" s="10" t="s">
        <v>1362</v>
      </c>
      <c r="D351" s="10" t="s">
        <v>1878</v>
      </c>
      <c r="E351" s="10" t="s">
        <v>1363</v>
      </c>
      <c r="F351" s="10" t="s">
        <v>1878</v>
      </c>
      <c r="G351" s="14">
        <v>44291</v>
      </c>
      <c r="H351">
        <v>2021</v>
      </c>
      <c r="I351" s="10" t="s">
        <v>1878</v>
      </c>
      <c r="J351" s="10" t="s">
        <v>28</v>
      </c>
      <c r="K351" s="15">
        <v>2336.88</v>
      </c>
    </row>
    <row r="352" spans="1:11" x14ac:dyDescent="0.35">
      <c r="A352" s="10" t="s">
        <v>1365</v>
      </c>
      <c r="B352" s="10" t="s">
        <v>1366</v>
      </c>
      <c r="C352" s="10" t="s">
        <v>1367</v>
      </c>
      <c r="D352" s="10" t="s">
        <v>1878</v>
      </c>
      <c r="E352" s="10" t="s">
        <v>18</v>
      </c>
      <c r="F352" s="16" t="s">
        <v>18</v>
      </c>
      <c r="G352" s="14">
        <v>45164</v>
      </c>
      <c r="H352">
        <v>2023</v>
      </c>
      <c r="I352" s="10" t="s">
        <v>1878</v>
      </c>
      <c r="J352" s="10" t="s">
        <v>29</v>
      </c>
      <c r="K352" s="15">
        <v>1725</v>
      </c>
    </row>
    <row r="353" spans="1:11" x14ac:dyDescent="0.35">
      <c r="A353" s="10" t="s">
        <v>1369</v>
      </c>
      <c r="B353" s="10" t="s">
        <v>385</v>
      </c>
      <c r="C353" s="10" t="s">
        <v>1370</v>
      </c>
      <c r="D353" s="10" t="s">
        <v>1878</v>
      </c>
      <c r="E353" s="10" t="s">
        <v>2094</v>
      </c>
      <c r="F353" s="10" t="s">
        <v>1878</v>
      </c>
      <c r="G353" s="14">
        <v>45464</v>
      </c>
      <c r="H353">
        <v>2024</v>
      </c>
      <c r="I353" s="10" t="s">
        <v>1878</v>
      </c>
      <c r="J353" s="10" t="s">
        <v>29</v>
      </c>
      <c r="K353" s="15">
        <v>1435.49</v>
      </c>
    </row>
    <row r="354" spans="1:11" x14ac:dyDescent="0.35">
      <c r="A354" s="10" t="s">
        <v>1373</v>
      </c>
      <c r="B354" s="10" t="s">
        <v>1180</v>
      </c>
      <c r="C354" s="10" t="s">
        <v>1374</v>
      </c>
      <c r="D354" s="10" t="s">
        <v>1878</v>
      </c>
      <c r="E354" s="10" t="s">
        <v>2095</v>
      </c>
      <c r="F354" s="10" t="s">
        <v>1878</v>
      </c>
      <c r="G354" s="14">
        <v>44115</v>
      </c>
      <c r="H354">
        <v>2020</v>
      </c>
      <c r="I354" s="10" t="s">
        <v>1878</v>
      </c>
      <c r="J354" s="10" t="s">
        <v>27</v>
      </c>
      <c r="K354" s="15">
        <v>530.05999999999995</v>
      </c>
    </row>
    <row r="355" spans="1:11" x14ac:dyDescent="0.35">
      <c r="A355" s="10" t="s">
        <v>1376</v>
      </c>
      <c r="B355" s="10" t="s">
        <v>1027</v>
      </c>
      <c r="C355" s="10" t="s">
        <v>1377</v>
      </c>
      <c r="D355" s="10" t="s">
        <v>1878</v>
      </c>
      <c r="E355" s="10" t="s">
        <v>2096</v>
      </c>
      <c r="F355" s="10" t="s">
        <v>1878</v>
      </c>
      <c r="G355" s="17" t="s">
        <v>18</v>
      </c>
      <c r="I355" s="16" t="s">
        <v>18</v>
      </c>
      <c r="J355" s="10" t="s">
        <v>20</v>
      </c>
      <c r="K355" s="15">
        <v>3090.25</v>
      </c>
    </row>
    <row r="356" spans="1:11" x14ac:dyDescent="0.35">
      <c r="A356" s="10" t="s">
        <v>1379</v>
      </c>
      <c r="B356" s="10" t="s">
        <v>331</v>
      </c>
      <c r="C356" s="10" t="s">
        <v>1380</v>
      </c>
      <c r="D356" s="10" t="s">
        <v>1878</v>
      </c>
      <c r="E356" s="10" t="s">
        <v>18</v>
      </c>
      <c r="F356" s="16" t="s">
        <v>18</v>
      </c>
      <c r="G356" s="14">
        <v>45025</v>
      </c>
      <c r="H356">
        <v>2023</v>
      </c>
      <c r="I356" s="10" t="s">
        <v>1878</v>
      </c>
      <c r="J356" s="10" t="s">
        <v>27</v>
      </c>
      <c r="K356" s="15">
        <v>4816.13</v>
      </c>
    </row>
    <row r="357" spans="1:11" x14ac:dyDescent="0.35">
      <c r="A357" s="10" t="s">
        <v>1382</v>
      </c>
      <c r="B357" s="10" t="s">
        <v>848</v>
      </c>
      <c r="C357" s="10" t="s">
        <v>1383</v>
      </c>
      <c r="D357" s="10" t="s">
        <v>1878</v>
      </c>
      <c r="E357" s="10" t="s">
        <v>18</v>
      </c>
      <c r="F357" s="16" t="s">
        <v>18</v>
      </c>
      <c r="G357" s="17" t="s">
        <v>18</v>
      </c>
      <c r="I357" s="16" t="s">
        <v>18</v>
      </c>
      <c r="J357" s="10" t="s">
        <v>26</v>
      </c>
      <c r="K357" s="15">
        <v>4522.8500000000004</v>
      </c>
    </row>
    <row r="358" spans="1:11" x14ac:dyDescent="0.35">
      <c r="A358" s="10" t="s">
        <v>1384</v>
      </c>
      <c r="B358" s="10" t="s">
        <v>1385</v>
      </c>
      <c r="C358" s="10" t="s">
        <v>1386</v>
      </c>
      <c r="D358" s="10" t="s">
        <v>1878</v>
      </c>
      <c r="E358" s="10" t="s">
        <v>2097</v>
      </c>
      <c r="F358" s="10" t="s">
        <v>1878</v>
      </c>
      <c r="G358" s="14">
        <v>43819</v>
      </c>
      <c r="H358">
        <v>2019</v>
      </c>
      <c r="I358" s="10" t="s">
        <v>1878</v>
      </c>
      <c r="J358" s="10" t="s">
        <v>24</v>
      </c>
      <c r="K358" s="15">
        <v>1567.87</v>
      </c>
    </row>
    <row r="359" spans="1:11" x14ac:dyDescent="0.35">
      <c r="A359" s="10" t="s">
        <v>1388</v>
      </c>
      <c r="B359" s="10" t="s">
        <v>110</v>
      </c>
      <c r="C359" s="10" t="s">
        <v>1389</v>
      </c>
      <c r="D359" s="10" t="s">
        <v>1878</v>
      </c>
      <c r="E359" s="10" t="s">
        <v>2098</v>
      </c>
      <c r="F359" s="10" t="s">
        <v>1878</v>
      </c>
      <c r="G359" s="17" t="s">
        <v>18</v>
      </c>
      <c r="I359" s="16" t="s">
        <v>18</v>
      </c>
      <c r="J359" s="10" t="s">
        <v>20</v>
      </c>
      <c r="K359" s="15">
        <v>2015.09</v>
      </c>
    </row>
    <row r="360" spans="1:11" x14ac:dyDescent="0.35">
      <c r="A360" s="10" t="s">
        <v>1391</v>
      </c>
      <c r="B360" s="10" t="s">
        <v>114</v>
      </c>
      <c r="C360" s="10" t="s">
        <v>1392</v>
      </c>
      <c r="D360" s="10" t="s">
        <v>1878</v>
      </c>
      <c r="E360" s="10" t="s">
        <v>2099</v>
      </c>
      <c r="F360" s="10" t="s">
        <v>1878</v>
      </c>
      <c r="G360" s="14">
        <v>44725</v>
      </c>
      <c r="H360">
        <v>2022</v>
      </c>
      <c r="I360" s="10" t="s">
        <v>1878</v>
      </c>
      <c r="J360" s="10" t="s">
        <v>27</v>
      </c>
      <c r="K360" s="15">
        <v>478.29</v>
      </c>
    </row>
    <row r="361" spans="1:11" x14ac:dyDescent="0.35">
      <c r="A361" s="10" t="s">
        <v>1395</v>
      </c>
      <c r="B361" s="10" t="s">
        <v>772</v>
      </c>
      <c r="C361" s="10" t="s">
        <v>2100</v>
      </c>
      <c r="D361" s="10" t="s">
        <v>1878</v>
      </c>
      <c r="E361" s="10" t="s">
        <v>2101</v>
      </c>
      <c r="F361" s="10" t="s">
        <v>1878</v>
      </c>
      <c r="G361" s="14">
        <v>45450</v>
      </c>
      <c r="H361">
        <v>2024</v>
      </c>
      <c r="I361" s="10" t="s">
        <v>1878</v>
      </c>
      <c r="J361" s="10" t="s">
        <v>28</v>
      </c>
      <c r="K361" s="15">
        <v>3727.25</v>
      </c>
    </row>
    <row r="362" spans="1:11" x14ac:dyDescent="0.35">
      <c r="A362" s="10" t="s">
        <v>1399</v>
      </c>
      <c r="B362" s="10" t="s">
        <v>89</v>
      </c>
      <c r="C362" s="10" t="s">
        <v>1400</v>
      </c>
      <c r="D362" s="10" t="s">
        <v>1878</v>
      </c>
      <c r="E362" s="10" t="s">
        <v>2102</v>
      </c>
      <c r="F362" s="10" t="s">
        <v>1878</v>
      </c>
      <c r="G362" s="17" t="s">
        <v>18</v>
      </c>
      <c r="I362" s="16" t="s">
        <v>18</v>
      </c>
      <c r="J362" s="10" t="s">
        <v>27</v>
      </c>
      <c r="K362" s="15">
        <v>2166.9899999999998</v>
      </c>
    </row>
    <row r="363" spans="1:11" x14ac:dyDescent="0.35">
      <c r="A363" s="10" t="s">
        <v>1402</v>
      </c>
      <c r="B363" s="10" t="s">
        <v>903</v>
      </c>
      <c r="C363" s="10" t="s">
        <v>1403</v>
      </c>
      <c r="D363" s="10" t="s">
        <v>1878</v>
      </c>
      <c r="E363" s="10" t="s">
        <v>18</v>
      </c>
      <c r="F363" s="16" t="s">
        <v>18</v>
      </c>
      <c r="G363" s="14">
        <v>44017</v>
      </c>
      <c r="H363">
        <v>2020</v>
      </c>
      <c r="I363" s="10" t="s">
        <v>1878</v>
      </c>
      <c r="J363" s="10" t="s">
        <v>26</v>
      </c>
      <c r="K363" s="15">
        <v>1997.7</v>
      </c>
    </row>
    <row r="364" spans="1:11" x14ac:dyDescent="0.35">
      <c r="A364" s="10" t="s">
        <v>1405</v>
      </c>
      <c r="B364" s="10" t="s">
        <v>777</v>
      </c>
      <c r="C364" s="10" t="s">
        <v>1406</v>
      </c>
      <c r="D364" s="10" t="s">
        <v>1878</v>
      </c>
      <c r="E364" s="10" t="s">
        <v>18</v>
      </c>
      <c r="F364" s="16" t="s">
        <v>18</v>
      </c>
      <c r="G364" s="14">
        <v>44150</v>
      </c>
      <c r="H364">
        <v>2020</v>
      </c>
      <c r="I364" s="10" t="s">
        <v>1878</v>
      </c>
      <c r="J364" s="10" t="s">
        <v>24</v>
      </c>
      <c r="K364" s="15">
        <v>2448.5100000000002</v>
      </c>
    </row>
    <row r="365" spans="1:11" x14ac:dyDescent="0.35">
      <c r="A365" s="10" t="s">
        <v>1408</v>
      </c>
      <c r="B365" s="10" t="s">
        <v>690</v>
      </c>
      <c r="C365" s="10" t="s">
        <v>1409</v>
      </c>
      <c r="D365" s="10" t="s">
        <v>1878</v>
      </c>
      <c r="E365" s="10" t="s">
        <v>18</v>
      </c>
      <c r="F365" s="16" t="s">
        <v>18</v>
      </c>
      <c r="G365" s="14">
        <v>43992</v>
      </c>
      <c r="H365">
        <v>2020</v>
      </c>
      <c r="I365" s="10" t="s">
        <v>1878</v>
      </c>
      <c r="J365" s="10" t="s">
        <v>29</v>
      </c>
      <c r="K365" s="15">
        <v>4031.36</v>
      </c>
    </row>
    <row r="366" spans="1:11" x14ac:dyDescent="0.35">
      <c r="A366" s="10" t="s">
        <v>1411</v>
      </c>
      <c r="B366" s="10" t="s">
        <v>785</v>
      </c>
      <c r="C366" s="10" t="s">
        <v>1412</v>
      </c>
      <c r="D366" s="10" t="s">
        <v>1878</v>
      </c>
      <c r="E366" s="10" t="s">
        <v>2103</v>
      </c>
      <c r="F366" s="10" t="s">
        <v>1878</v>
      </c>
      <c r="G366" s="17" t="s">
        <v>18</v>
      </c>
      <c r="I366" s="16" t="s">
        <v>18</v>
      </c>
      <c r="J366" s="10" t="s">
        <v>29</v>
      </c>
      <c r="K366" s="15">
        <v>205.8</v>
      </c>
    </row>
    <row r="367" spans="1:11" x14ac:dyDescent="0.35">
      <c r="A367" s="10" t="s">
        <v>1414</v>
      </c>
      <c r="B367" s="10" t="s">
        <v>1415</v>
      </c>
      <c r="C367" s="10" t="s">
        <v>1416</v>
      </c>
      <c r="D367" s="10" t="s">
        <v>1878</v>
      </c>
      <c r="E367" s="10" t="s">
        <v>1417</v>
      </c>
      <c r="F367" s="10" t="s">
        <v>1878</v>
      </c>
      <c r="G367" s="14">
        <v>43541</v>
      </c>
      <c r="H367">
        <v>2019</v>
      </c>
      <c r="I367" s="10" t="s">
        <v>1878</v>
      </c>
      <c r="J367" s="10" t="s">
        <v>28</v>
      </c>
      <c r="K367" s="15">
        <v>816.54</v>
      </c>
    </row>
    <row r="368" spans="1:11" x14ac:dyDescent="0.35">
      <c r="A368" s="10" t="s">
        <v>1419</v>
      </c>
      <c r="B368" s="10" t="s">
        <v>212</v>
      </c>
      <c r="C368" s="10" t="s">
        <v>2104</v>
      </c>
      <c r="D368" s="10" t="s">
        <v>1878</v>
      </c>
      <c r="E368" s="10" t="s">
        <v>2105</v>
      </c>
      <c r="F368" s="10" t="s">
        <v>1878</v>
      </c>
      <c r="G368" s="14">
        <v>43875</v>
      </c>
      <c r="H368">
        <v>2020</v>
      </c>
      <c r="I368" s="10" t="s">
        <v>1878</v>
      </c>
      <c r="J368" s="10" t="s">
        <v>26</v>
      </c>
      <c r="K368" s="15">
        <v>2547.94</v>
      </c>
    </row>
    <row r="369" spans="1:11" x14ac:dyDescent="0.35">
      <c r="A369" s="10" t="s">
        <v>1423</v>
      </c>
      <c r="B369" s="10" t="s">
        <v>1424</v>
      </c>
      <c r="C369" s="10" t="s">
        <v>1425</v>
      </c>
      <c r="D369" s="10" t="s">
        <v>1878</v>
      </c>
      <c r="E369" s="10" t="s">
        <v>2106</v>
      </c>
      <c r="F369" s="10" t="s">
        <v>1878</v>
      </c>
      <c r="G369" s="14">
        <v>43692</v>
      </c>
      <c r="H369">
        <v>2019</v>
      </c>
      <c r="I369" s="10" t="s">
        <v>1878</v>
      </c>
      <c r="J369" s="10" t="s">
        <v>29</v>
      </c>
      <c r="K369" s="15">
        <v>453.93</v>
      </c>
    </row>
    <row r="370" spans="1:11" x14ac:dyDescent="0.35">
      <c r="A370" s="10" t="s">
        <v>1428</v>
      </c>
      <c r="B370" s="10" t="s">
        <v>275</v>
      </c>
      <c r="C370" s="10" t="s">
        <v>1429</v>
      </c>
      <c r="D370" s="10" t="s">
        <v>1878</v>
      </c>
      <c r="E370" s="10" t="s">
        <v>18</v>
      </c>
      <c r="F370" s="16" t="s">
        <v>18</v>
      </c>
      <c r="G370" s="14">
        <v>44076</v>
      </c>
      <c r="H370">
        <v>2020</v>
      </c>
      <c r="I370" s="10" t="s">
        <v>1878</v>
      </c>
      <c r="J370" s="10" t="s">
        <v>27</v>
      </c>
      <c r="K370" s="15">
        <v>3996</v>
      </c>
    </row>
    <row r="371" spans="1:11" x14ac:dyDescent="0.35">
      <c r="A371" s="10" t="s">
        <v>1431</v>
      </c>
      <c r="B371" s="10" t="s">
        <v>458</v>
      </c>
      <c r="C371" s="10" t="s">
        <v>18</v>
      </c>
      <c r="D371" s="16" t="s">
        <v>18</v>
      </c>
      <c r="E371" s="10" t="s">
        <v>1432</v>
      </c>
      <c r="F371" s="10" t="s">
        <v>1878</v>
      </c>
      <c r="G371" s="14">
        <v>45132</v>
      </c>
      <c r="H371">
        <v>2023</v>
      </c>
      <c r="I371" s="10" t="s">
        <v>1878</v>
      </c>
      <c r="J371" s="10" t="s">
        <v>22</v>
      </c>
      <c r="K371" s="15">
        <v>492</v>
      </c>
    </row>
    <row r="372" spans="1:11" x14ac:dyDescent="0.35">
      <c r="A372" s="10" t="s">
        <v>1434</v>
      </c>
      <c r="B372" s="10" t="s">
        <v>763</v>
      </c>
      <c r="C372" s="10" t="s">
        <v>1435</v>
      </c>
      <c r="D372" s="10" t="s">
        <v>1878</v>
      </c>
      <c r="E372" s="10" t="s">
        <v>1436</v>
      </c>
      <c r="F372" s="10" t="s">
        <v>1878</v>
      </c>
      <c r="G372" s="17" t="s">
        <v>18</v>
      </c>
      <c r="I372" s="16" t="s">
        <v>18</v>
      </c>
      <c r="J372" s="10" t="s">
        <v>28</v>
      </c>
      <c r="K372" s="15">
        <v>1132</v>
      </c>
    </row>
    <row r="373" spans="1:11" x14ac:dyDescent="0.35">
      <c r="A373" s="10" t="s">
        <v>1437</v>
      </c>
      <c r="B373" s="10" t="s">
        <v>1197</v>
      </c>
      <c r="C373" s="10" t="s">
        <v>1438</v>
      </c>
      <c r="D373" s="10" t="s">
        <v>1878</v>
      </c>
      <c r="E373" s="10" t="s">
        <v>1439</v>
      </c>
      <c r="F373" s="10" t="s">
        <v>1878</v>
      </c>
      <c r="G373" s="14">
        <v>45431</v>
      </c>
      <c r="H373">
        <v>2024</v>
      </c>
      <c r="I373" s="10" t="s">
        <v>1878</v>
      </c>
      <c r="J373" s="10" t="s">
        <v>28</v>
      </c>
      <c r="K373" s="15">
        <v>4439.38</v>
      </c>
    </row>
    <row r="374" spans="1:11" x14ac:dyDescent="0.35">
      <c r="A374" s="10" t="s">
        <v>1440</v>
      </c>
      <c r="B374" s="10" t="s">
        <v>1415</v>
      </c>
      <c r="C374" s="10" t="s">
        <v>1441</v>
      </c>
      <c r="D374" s="10" t="s">
        <v>1878</v>
      </c>
      <c r="E374" s="10" t="s">
        <v>2107</v>
      </c>
      <c r="F374" s="10" t="s">
        <v>1878</v>
      </c>
      <c r="G374" s="14">
        <v>45537</v>
      </c>
      <c r="H374">
        <v>2024</v>
      </c>
      <c r="I374" s="10" t="s">
        <v>1878</v>
      </c>
      <c r="J374" s="10" t="s">
        <v>29</v>
      </c>
      <c r="K374" s="15">
        <v>990.93</v>
      </c>
    </row>
    <row r="375" spans="1:11" x14ac:dyDescent="0.35">
      <c r="A375" s="10" t="s">
        <v>1444</v>
      </c>
      <c r="B375" s="10" t="s">
        <v>1055</v>
      </c>
      <c r="C375" s="10" t="s">
        <v>1445</v>
      </c>
      <c r="D375" s="10" t="s">
        <v>1878</v>
      </c>
      <c r="E375" s="10" t="s">
        <v>18</v>
      </c>
      <c r="F375" s="16" t="s">
        <v>18</v>
      </c>
      <c r="G375" s="14">
        <v>44386</v>
      </c>
      <c r="H375">
        <v>2021</v>
      </c>
      <c r="I375" s="10" t="s">
        <v>1878</v>
      </c>
      <c r="J375" s="10" t="s">
        <v>28</v>
      </c>
      <c r="K375" s="15">
        <v>1896.99</v>
      </c>
    </row>
    <row r="376" spans="1:11" x14ac:dyDescent="0.35">
      <c r="A376" s="10" t="s">
        <v>1447</v>
      </c>
      <c r="B376" s="10" t="s">
        <v>1424</v>
      </c>
      <c r="C376" s="10" t="s">
        <v>1448</v>
      </c>
      <c r="D376" s="10" t="s">
        <v>1878</v>
      </c>
      <c r="E376" s="10" t="s">
        <v>2108</v>
      </c>
      <c r="F376" s="10" t="s">
        <v>1878</v>
      </c>
      <c r="G376" s="17" t="s">
        <v>18</v>
      </c>
      <c r="I376" s="16" t="s">
        <v>18</v>
      </c>
      <c r="J376" s="10" t="s">
        <v>29</v>
      </c>
      <c r="K376" s="15">
        <v>1249.78</v>
      </c>
    </row>
    <row r="377" spans="1:11" x14ac:dyDescent="0.35">
      <c r="A377" s="10" t="s">
        <v>1450</v>
      </c>
      <c r="B377" s="10" t="s">
        <v>450</v>
      </c>
      <c r="C377" s="10" t="s">
        <v>2109</v>
      </c>
      <c r="D377" s="10" t="s">
        <v>1878</v>
      </c>
      <c r="E377" s="10" t="s">
        <v>1452</v>
      </c>
      <c r="F377" s="10" t="s">
        <v>1878</v>
      </c>
      <c r="G377" s="17" t="s">
        <v>18</v>
      </c>
      <c r="I377" s="16" t="s">
        <v>18</v>
      </c>
      <c r="J377" s="10" t="s">
        <v>26</v>
      </c>
      <c r="K377" s="15">
        <v>3741.17</v>
      </c>
    </row>
    <row r="378" spans="1:11" x14ac:dyDescent="0.35">
      <c r="A378" s="10" t="s">
        <v>1453</v>
      </c>
      <c r="B378" s="10" t="s">
        <v>374</v>
      </c>
      <c r="C378" s="10" t="s">
        <v>1454</v>
      </c>
      <c r="D378" s="10" t="s">
        <v>1878</v>
      </c>
      <c r="E378" s="10" t="s">
        <v>2110</v>
      </c>
      <c r="F378" s="10" t="s">
        <v>1878</v>
      </c>
      <c r="G378" s="14">
        <v>44714</v>
      </c>
      <c r="H378">
        <v>2022</v>
      </c>
      <c r="I378" s="10" t="s">
        <v>1878</v>
      </c>
      <c r="J378" s="10" t="s">
        <v>22</v>
      </c>
      <c r="K378" s="15">
        <v>219.19</v>
      </c>
    </row>
    <row r="379" spans="1:11" x14ac:dyDescent="0.35">
      <c r="A379" s="10" t="s">
        <v>1279</v>
      </c>
      <c r="B379" s="10" t="s">
        <v>346</v>
      </c>
      <c r="C379" s="10" t="s">
        <v>1280</v>
      </c>
      <c r="D379" s="10" t="s">
        <v>1878</v>
      </c>
      <c r="E379" s="10" t="s">
        <v>2077</v>
      </c>
      <c r="F379" s="10" t="s">
        <v>1878</v>
      </c>
      <c r="G379" s="14">
        <v>45505</v>
      </c>
      <c r="H379">
        <v>2024</v>
      </c>
      <c r="I379" s="10" t="s">
        <v>1878</v>
      </c>
      <c r="J379" s="10" t="s">
        <v>27</v>
      </c>
      <c r="K379" s="15">
        <v>4900.29</v>
      </c>
    </row>
    <row r="380" spans="1:11" x14ac:dyDescent="0.35">
      <c r="A380" s="10" t="s">
        <v>1457</v>
      </c>
      <c r="B380" s="10" t="s">
        <v>1249</v>
      </c>
      <c r="C380" s="10" t="s">
        <v>1458</v>
      </c>
      <c r="D380" s="10" t="s">
        <v>1878</v>
      </c>
      <c r="E380" s="10" t="s">
        <v>2111</v>
      </c>
      <c r="F380" s="10" t="s">
        <v>1878</v>
      </c>
      <c r="G380" s="14">
        <v>44192</v>
      </c>
      <c r="H380">
        <v>2020</v>
      </c>
      <c r="I380" s="10" t="s">
        <v>1878</v>
      </c>
      <c r="J380" s="10" t="s">
        <v>22</v>
      </c>
      <c r="K380" s="15">
        <v>0</v>
      </c>
    </row>
    <row r="381" spans="1:11" x14ac:dyDescent="0.35">
      <c r="A381" s="10" t="s">
        <v>1461</v>
      </c>
      <c r="B381" s="10" t="s">
        <v>441</v>
      </c>
      <c r="C381" s="10" t="s">
        <v>1462</v>
      </c>
      <c r="D381" s="10" t="s">
        <v>1878</v>
      </c>
      <c r="E381" s="10" t="s">
        <v>2112</v>
      </c>
      <c r="F381" s="10" t="s">
        <v>1878</v>
      </c>
      <c r="G381" s="14">
        <v>43943</v>
      </c>
      <c r="H381">
        <v>2020</v>
      </c>
      <c r="I381" s="10" t="s">
        <v>1878</v>
      </c>
      <c r="J381" s="10" t="s">
        <v>26</v>
      </c>
      <c r="K381" s="15">
        <v>3403.77</v>
      </c>
    </row>
    <row r="382" spans="1:11" x14ac:dyDescent="0.35">
      <c r="A382" s="10" t="s">
        <v>1465</v>
      </c>
      <c r="B382" s="10" t="s">
        <v>1202</v>
      </c>
      <c r="C382" s="10" t="s">
        <v>1466</v>
      </c>
      <c r="D382" s="10" t="s">
        <v>1878</v>
      </c>
      <c r="E382" s="10" t="s">
        <v>1467</v>
      </c>
      <c r="F382" s="10" t="s">
        <v>1878</v>
      </c>
      <c r="G382" s="17" t="s">
        <v>18</v>
      </c>
      <c r="I382" s="16" t="s">
        <v>18</v>
      </c>
      <c r="J382" s="10" t="s">
        <v>26</v>
      </c>
      <c r="K382" s="15">
        <v>4846.59</v>
      </c>
    </row>
    <row r="383" spans="1:11" x14ac:dyDescent="0.35">
      <c r="A383" s="10" t="s">
        <v>1468</v>
      </c>
      <c r="B383" s="10" t="s">
        <v>230</v>
      </c>
      <c r="C383" s="10" t="s">
        <v>1469</v>
      </c>
      <c r="D383" s="10" t="s">
        <v>1878</v>
      </c>
      <c r="E383" s="10" t="s">
        <v>1470</v>
      </c>
      <c r="F383" s="10" t="s">
        <v>1878</v>
      </c>
      <c r="G383" s="14">
        <v>43796</v>
      </c>
      <c r="H383">
        <v>2019</v>
      </c>
      <c r="I383" s="10" t="s">
        <v>1878</v>
      </c>
      <c r="J383" s="10" t="s">
        <v>20</v>
      </c>
      <c r="K383" s="15">
        <v>1489.22</v>
      </c>
    </row>
    <row r="384" spans="1:11" x14ac:dyDescent="0.35">
      <c r="A384" s="10" t="s">
        <v>1472</v>
      </c>
      <c r="B384" s="10" t="s">
        <v>1473</v>
      </c>
      <c r="C384" s="10" t="s">
        <v>1474</v>
      </c>
      <c r="D384" s="10" t="s">
        <v>1878</v>
      </c>
      <c r="E384" s="10" t="s">
        <v>2113</v>
      </c>
      <c r="F384" s="10" t="s">
        <v>1878</v>
      </c>
      <c r="G384" s="14">
        <v>43816</v>
      </c>
      <c r="H384">
        <v>2019</v>
      </c>
      <c r="I384" s="10" t="s">
        <v>1878</v>
      </c>
      <c r="J384" s="10" t="s">
        <v>26</v>
      </c>
      <c r="K384" s="15">
        <v>976.89</v>
      </c>
    </row>
    <row r="385" spans="1:11" x14ac:dyDescent="0.35">
      <c r="A385" s="10" t="s">
        <v>1477</v>
      </c>
      <c r="B385" s="10" t="s">
        <v>1478</v>
      </c>
      <c r="C385" s="10" t="s">
        <v>1479</v>
      </c>
      <c r="D385" s="10" t="s">
        <v>1878</v>
      </c>
      <c r="E385" s="10" t="s">
        <v>2114</v>
      </c>
      <c r="F385" s="10" t="s">
        <v>1878</v>
      </c>
      <c r="G385" s="14">
        <v>45388</v>
      </c>
      <c r="H385">
        <v>2024</v>
      </c>
      <c r="I385" s="10" t="s">
        <v>1878</v>
      </c>
      <c r="J385" s="10" t="s">
        <v>26</v>
      </c>
      <c r="K385" s="15">
        <v>3361</v>
      </c>
    </row>
    <row r="386" spans="1:11" x14ac:dyDescent="0.35">
      <c r="A386" s="10" t="s">
        <v>1482</v>
      </c>
      <c r="B386" s="10" t="s">
        <v>230</v>
      </c>
      <c r="C386" s="10" t="s">
        <v>1483</v>
      </c>
      <c r="D386" s="10" t="s">
        <v>1878</v>
      </c>
      <c r="E386" s="10" t="s">
        <v>1484</v>
      </c>
      <c r="F386" s="10" t="s">
        <v>1878</v>
      </c>
      <c r="G386" s="14">
        <v>43555</v>
      </c>
      <c r="H386">
        <v>2019</v>
      </c>
      <c r="I386" s="10" t="s">
        <v>1878</v>
      </c>
      <c r="J386" s="10" t="s">
        <v>22</v>
      </c>
      <c r="K386" s="15">
        <v>1109</v>
      </c>
    </row>
    <row r="387" spans="1:11" x14ac:dyDescent="0.35">
      <c r="A387" s="10" t="s">
        <v>1486</v>
      </c>
      <c r="B387" s="10" t="s">
        <v>1202</v>
      </c>
      <c r="C387" s="10" t="s">
        <v>1487</v>
      </c>
      <c r="D387" s="10" t="s">
        <v>1878</v>
      </c>
      <c r="E387" s="10" t="s">
        <v>18</v>
      </c>
      <c r="F387" s="16" t="s">
        <v>18</v>
      </c>
      <c r="G387" s="14">
        <v>44790</v>
      </c>
      <c r="H387">
        <v>2022</v>
      </c>
      <c r="I387" s="10" t="s">
        <v>1878</v>
      </c>
      <c r="J387" s="10" t="s">
        <v>27</v>
      </c>
      <c r="K387" s="15">
        <v>-716</v>
      </c>
    </row>
    <row r="388" spans="1:11" x14ac:dyDescent="0.35">
      <c r="A388" s="10" t="s">
        <v>1488</v>
      </c>
      <c r="B388" s="10" t="s">
        <v>136</v>
      </c>
      <c r="C388" s="10" t="s">
        <v>1489</v>
      </c>
      <c r="D388" s="10" t="s">
        <v>1878</v>
      </c>
      <c r="E388" s="10" t="s">
        <v>2115</v>
      </c>
      <c r="F388" s="10" t="s">
        <v>1878</v>
      </c>
      <c r="G388" s="14">
        <v>45442</v>
      </c>
      <c r="H388">
        <v>2024</v>
      </c>
      <c r="I388" s="10" t="s">
        <v>1878</v>
      </c>
      <c r="J388" s="10" t="s">
        <v>26</v>
      </c>
      <c r="K388" s="15">
        <v>3897.7</v>
      </c>
    </row>
    <row r="389" spans="1:11" x14ac:dyDescent="0.35">
      <c r="A389" s="10" t="s">
        <v>1492</v>
      </c>
      <c r="B389" s="10" t="s">
        <v>641</v>
      </c>
      <c r="C389" s="10" t="s">
        <v>2116</v>
      </c>
      <c r="D389" s="10" t="s">
        <v>1878</v>
      </c>
      <c r="E389" s="10" t="s">
        <v>1494</v>
      </c>
      <c r="F389" s="10" t="s">
        <v>1878</v>
      </c>
      <c r="G389" s="14">
        <v>45147</v>
      </c>
      <c r="H389">
        <v>2023</v>
      </c>
      <c r="I389" s="10" t="s">
        <v>1878</v>
      </c>
      <c r="J389" s="10" t="s">
        <v>24</v>
      </c>
      <c r="K389" s="15">
        <v>4044</v>
      </c>
    </row>
    <row r="390" spans="1:11" x14ac:dyDescent="0.35">
      <c r="A390" s="10" t="s">
        <v>1496</v>
      </c>
      <c r="B390" s="10" t="s">
        <v>632</v>
      </c>
      <c r="C390" s="10" t="s">
        <v>1497</v>
      </c>
      <c r="D390" s="10" t="s">
        <v>1878</v>
      </c>
      <c r="E390" s="10" t="s">
        <v>2117</v>
      </c>
      <c r="F390" s="10" t="s">
        <v>1878</v>
      </c>
      <c r="G390" s="14">
        <v>44016</v>
      </c>
      <c r="H390">
        <v>2020</v>
      </c>
      <c r="I390" s="10" t="s">
        <v>1878</v>
      </c>
      <c r="J390" s="10" t="s">
        <v>20</v>
      </c>
      <c r="K390" s="15">
        <v>2727</v>
      </c>
    </row>
    <row r="391" spans="1:11" x14ac:dyDescent="0.35">
      <c r="A391" s="10" t="s">
        <v>1500</v>
      </c>
      <c r="B391" s="10" t="s">
        <v>1501</v>
      </c>
      <c r="C391" s="10" t="s">
        <v>1502</v>
      </c>
      <c r="D391" s="10" t="s">
        <v>1878</v>
      </c>
      <c r="E391" s="10" t="s">
        <v>2118</v>
      </c>
      <c r="F391" s="10" t="s">
        <v>1878</v>
      </c>
      <c r="G391" s="17" t="s">
        <v>18</v>
      </c>
      <c r="I391" s="16" t="s">
        <v>18</v>
      </c>
      <c r="J391" s="10" t="s">
        <v>22</v>
      </c>
      <c r="K391" s="15">
        <v>3003</v>
      </c>
    </row>
    <row r="392" spans="1:11" x14ac:dyDescent="0.35">
      <c r="A392" s="10" t="s">
        <v>1504</v>
      </c>
      <c r="B392" s="10" t="s">
        <v>220</v>
      </c>
      <c r="C392" s="10" t="s">
        <v>1505</v>
      </c>
      <c r="D392" s="10" t="s">
        <v>1878</v>
      </c>
      <c r="E392" s="10" t="s">
        <v>2119</v>
      </c>
      <c r="F392" s="10" t="s">
        <v>1878</v>
      </c>
      <c r="G392" s="14">
        <v>44606</v>
      </c>
      <c r="H392">
        <v>2022</v>
      </c>
      <c r="I392" s="10" t="s">
        <v>1878</v>
      </c>
      <c r="J392" s="10" t="s">
        <v>22</v>
      </c>
      <c r="K392" s="15">
        <v>3141</v>
      </c>
    </row>
    <row r="393" spans="1:11" x14ac:dyDescent="0.35">
      <c r="A393" s="10" t="s">
        <v>1508</v>
      </c>
      <c r="B393" s="10" t="s">
        <v>105</v>
      </c>
      <c r="C393" s="10" t="s">
        <v>1509</v>
      </c>
      <c r="D393" s="10" t="s">
        <v>1878</v>
      </c>
      <c r="E393" s="10" t="s">
        <v>1510</v>
      </c>
      <c r="F393" s="10" t="s">
        <v>1878</v>
      </c>
      <c r="G393" s="17" t="s">
        <v>18</v>
      </c>
      <c r="I393" s="16" t="s">
        <v>18</v>
      </c>
      <c r="J393" s="10" t="s">
        <v>20</v>
      </c>
      <c r="K393" s="15">
        <v>4827.21</v>
      </c>
    </row>
    <row r="394" spans="1:11" x14ac:dyDescent="0.35">
      <c r="A394" s="10" t="s">
        <v>1511</v>
      </c>
      <c r="B394" s="10" t="s">
        <v>579</v>
      </c>
      <c r="C394" s="10" t="s">
        <v>1512</v>
      </c>
      <c r="D394" s="10" t="s">
        <v>1878</v>
      </c>
      <c r="E394" s="10" t="s">
        <v>18</v>
      </c>
      <c r="F394" s="16" t="s">
        <v>18</v>
      </c>
      <c r="G394" s="17" t="s">
        <v>18</v>
      </c>
      <c r="I394" s="16" t="s">
        <v>18</v>
      </c>
      <c r="J394" s="10" t="s">
        <v>22</v>
      </c>
      <c r="K394" s="15">
        <v>4960.8599999999997</v>
      </c>
    </row>
    <row r="395" spans="1:11" x14ac:dyDescent="0.35">
      <c r="A395" s="10" t="s">
        <v>1513</v>
      </c>
      <c r="B395" s="10" t="s">
        <v>35</v>
      </c>
      <c r="C395" s="10" t="s">
        <v>18</v>
      </c>
      <c r="D395" s="16" t="s">
        <v>18</v>
      </c>
      <c r="E395" s="10" t="s">
        <v>1514</v>
      </c>
      <c r="F395" s="10" t="s">
        <v>1878</v>
      </c>
      <c r="G395" s="14">
        <v>44882</v>
      </c>
      <c r="H395">
        <v>2022</v>
      </c>
      <c r="I395" s="10" t="s">
        <v>1878</v>
      </c>
      <c r="J395" s="10" t="s">
        <v>22</v>
      </c>
      <c r="K395" s="15">
        <v>4224.01</v>
      </c>
    </row>
    <row r="396" spans="1:11" x14ac:dyDescent="0.35">
      <c r="A396" s="10" t="s">
        <v>1516</v>
      </c>
      <c r="B396" s="10" t="s">
        <v>208</v>
      </c>
      <c r="C396" s="10" t="s">
        <v>18</v>
      </c>
      <c r="D396" s="16" t="s">
        <v>18</v>
      </c>
      <c r="E396" s="10" t="s">
        <v>2120</v>
      </c>
      <c r="F396" s="10" t="s">
        <v>1878</v>
      </c>
      <c r="G396" s="14">
        <v>44438</v>
      </c>
      <c r="H396">
        <v>2021</v>
      </c>
      <c r="I396" s="10" t="s">
        <v>1878</v>
      </c>
      <c r="J396" s="10" t="s">
        <v>22</v>
      </c>
      <c r="K396" s="15">
        <v>810.21</v>
      </c>
    </row>
    <row r="397" spans="1:11" x14ac:dyDescent="0.35">
      <c r="A397" s="10" t="s">
        <v>1519</v>
      </c>
      <c r="B397" s="10" t="s">
        <v>182</v>
      </c>
      <c r="C397" s="10" t="s">
        <v>18</v>
      </c>
      <c r="D397" s="16" t="s">
        <v>18</v>
      </c>
      <c r="E397" s="10" t="s">
        <v>2121</v>
      </c>
      <c r="F397" s="10" t="s">
        <v>1878</v>
      </c>
      <c r="G397" s="14">
        <v>43881</v>
      </c>
      <c r="H397">
        <v>2020</v>
      </c>
      <c r="I397" s="10" t="s">
        <v>1878</v>
      </c>
      <c r="J397" s="10" t="s">
        <v>22</v>
      </c>
      <c r="K397" s="15">
        <v>2985.6</v>
      </c>
    </row>
    <row r="398" spans="1:11" x14ac:dyDescent="0.35">
      <c r="A398" s="10" t="s">
        <v>1521</v>
      </c>
      <c r="B398" s="10" t="s">
        <v>975</v>
      </c>
      <c r="C398" s="10" t="s">
        <v>1522</v>
      </c>
      <c r="D398" s="10" t="s">
        <v>1878</v>
      </c>
      <c r="E398" s="10" t="s">
        <v>18</v>
      </c>
      <c r="F398" s="16" t="s">
        <v>18</v>
      </c>
      <c r="G398" s="14">
        <v>44527</v>
      </c>
      <c r="H398">
        <v>2021</v>
      </c>
      <c r="I398" s="10" t="s">
        <v>1878</v>
      </c>
      <c r="J398" s="10" t="s">
        <v>26</v>
      </c>
      <c r="K398" s="15">
        <v>-1996</v>
      </c>
    </row>
    <row r="399" spans="1:11" x14ac:dyDescent="0.35">
      <c r="A399" s="10" t="s">
        <v>1523</v>
      </c>
      <c r="B399" s="10" t="s">
        <v>927</v>
      </c>
      <c r="C399" s="10" t="s">
        <v>1524</v>
      </c>
      <c r="D399" s="10" t="s">
        <v>1878</v>
      </c>
      <c r="E399" s="10" t="s">
        <v>2122</v>
      </c>
      <c r="F399" s="10" t="s">
        <v>1878</v>
      </c>
      <c r="G399" s="17" t="s">
        <v>18</v>
      </c>
      <c r="I399" s="16" t="s">
        <v>18</v>
      </c>
      <c r="J399" s="10" t="s">
        <v>27</v>
      </c>
      <c r="K399" s="15">
        <v>414.99</v>
      </c>
    </row>
    <row r="400" spans="1:11" x14ac:dyDescent="0.35">
      <c r="A400" s="10" t="s">
        <v>1526</v>
      </c>
      <c r="B400" s="10" t="s">
        <v>520</v>
      </c>
      <c r="C400" s="10" t="s">
        <v>1527</v>
      </c>
      <c r="D400" s="10" t="s">
        <v>1878</v>
      </c>
      <c r="E400" s="10" t="s">
        <v>2123</v>
      </c>
      <c r="F400" s="10" t="s">
        <v>1878</v>
      </c>
      <c r="G400" s="14">
        <v>44654</v>
      </c>
      <c r="H400">
        <v>2022</v>
      </c>
      <c r="I400" s="10" t="s">
        <v>1878</v>
      </c>
      <c r="J400" s="10" t="s">
        <v>29</v>
      </c>
      <c r="K400" s="15">
        <v>3873</v>
      </c>
    </row>
    <row r="401" spans="1:11" x14ac:dyDescent="0.35">
      <c r="A401" s="10" t="s">
        <v>1530</v>
      </c>
      <c r="B401" s="10" t="s">
        <v>389</v>
      </c>
      <c r="C401" s="10" t="s">
        <v>1531</v>
      </c>
      <c r="D401" s="10" t="s">
        <v>1878</v>
      </c>
      <c r="E401" s="10" t="s">
        <v>2124</v>
      </c>
      <c r="F401" s="10" t="s">
        <v>1878</v>
      </c>
      <c r="G401" s="14">
        <v>43941</v>
      </c>
      <c r="H401">
        <v>2020</v>
      </c>
      <c r="I401" s="10" t="s">
        <v>1878</v>
      </c>
      <c r="J401" s="10" t="s">
        <v>27</v>
      </c>
      <c r="K401" s="15">
        <v>4423</v>
      </c>
    </row>
    <row r="402" spans="1:11" x14ac:dyDescent="0.35">
      <c r="A402" s="10" t="s">
        <v>1534</v>
      </c>
      <c r="B402" s="10" t="s">
        <v>67</v>
      </c>
      <c r="C402" s="10" t="s">
        <v>1535</v>
      </c>
      <c r="D402" s="10" t="s">
        <v>1878</v>
      </c>
      <c r="E402" s="10" t="s">
        <v>2125</v>
      </c>
      <c r="F402" s="10" t="s">
        <v>1878</v>
      </c>
      <c r="G402" s="14">
        <v>45131</v>
      </c>
      <c r="H402">
        <v>2023</v>
      </c>
      <c r="I402" s="10" t="s">
        <v>1878</v>
      </c>
      <c r="J402" s="10" t="s">
        <v>20</v>
      </c>
      <c r="K402" s="15">
        <v>3657</v>
      </c>
    </row>
    <row r="403" spans="1:11" x14ac:dyDescent="0.35">
      <c r="A403" s="10" t="s">
        <v>1538</v>
      </c>
      <c r="B403" s="10" t="s">
        <v>848</v>
      </c>
      <c r="C403" s="10" t="s">
        <v>1539</v>
      </c>
      <c r="D403" s="10" t="s">
        <v>1878</v>
      </c>
      <c r="E403" s="10" t="s">
        <v>2126</v>
      </c>
      <c r="F403" s="10" t="s">
        <v>1878</v>
      </c>
      <c r="G403" s="14">
        <v>44222</v>
      </c>
      <c r="H403">
        <v>2021</v>
      </c>
      <c r="I403" s="10" t="s">
        <v>1878</v>
      </c>
      <c r="J403" s="10" t="s">
        <v>24</v>
      </c>
      <c r="K403" s="15">
        <v>2737.85</v>
      </c>
    </row>
    <row r="404" spans="1:11" x14ac:dyDescent="0.35">
      <c r="A404" s="10" t="s">
        <v>1542</v>
      </c>
      <c r="B404" s="10" t="s">
        <v>212</v>
      </c>
      <c r="C404" s="10" t="s">
        <v>1543</v>
      </c>
      <c r="D404" s="10" t="s">
        <v>1878</v>
      </c>
      <c r="E404" s="10" t="s">
        <v>2127</v>
      </c>
      <c r="F404" s="10" t="s">
        <v>1878</v>
      </c>
      <c r="G404" s="14">
        <v>44925</v>
      </c>
      <c r="H404">
        <v>2022</v>
      </c>
      <c r="I404" s="10" t="s">
        <v>1878</v>
      </c>
      <c r="J404" s="10" t="s">
        <v>26</v>
      </c>
      <c r="K404" s="15">
        <v>1421.15</v>
      </c>
    </row>
    <row r="405" spans="1:11" x14ac:dyDescent="0.35">
      <c r="A405" s="10" t="s">
        <v>1546</v>
      </c>
      <c r="B405" s="10" t="s">
        <v>94</v>
      </c>
      <c r="C405" s="10" t="s">
        <v>1547</v>
      </c>
      <c r="D405" s="10" t="s">
        <v>1878</v>
      </c>
      <c r="E405" s="10" t="s">
        <v>18</v>
      </c>
      <c r="F405" s="16" t="s">
        <v>18</v>
      </c>
      <c r="G405" s="14">
        <v>45019</v>
      </c>
      <c r="H405">
        <v>2023</v>
      </c>
      <c r="I405" s="10" t="s">
        <v>1878</v>
      </c>
      <c r="J405" s="10" t="s">
        <v>27</v>
      </c>
      <c r="K405" s="15">
        <v>4575.8500000000004</v>
      </c>
    </row>
    <row r="406" spans="1:11" x14ac:dyDescent="0.35">
      <c r="A406" s="10" t="s">
        <v>1549</v>
      </c>
      <c r="B406" s="10" t="s">
        <v>1550</v>
      </c>
      <c r="C406" s="10" t="s">
        <v>1551</v>
      </c>
      <c r="D406" s="10" t="s">
        <v>1878</v>
      </c>
      <c r="E406" s="10" t="s">
        <v>18</v>
      </c>
      <c r="F406" s="16" t="s">
        <v>18</v>
      </c>
      <c r="G406" s="14">
        <v>44019</v>
      </c>
      <c r="H406">
        <v>2020</v>
      </c>
      <c r="I406" s="10" t="s">
        <v>1878</v>
      </c>
      <c r="J406" s="10" t="s">
        <v>22</v>
      </c>
      <c r="K406" s="15">
        <v>0</v>
      </c>
    </row>
    <row r="407" spans="1:11" x14ac:dyDescent="0.35">
      <c r="A407" s="10" t="s">
        <v>1553</v>
      </c>
      <c r="B407" s="10" t="s">
        <v>121</v>
      </c>
      <c r="C407" s="10" t="s">
        <v>1554</v>
      </c>
      <c r="D407" s="10" t="s">
        <v>1878</v>
      </c>
      <c r="E407" s="10" t="s">
        <v>2128</v>
      </c>
      <c r="F407" s="10" t="s">
        <v>1878</v>
      </c>
      <c r="G407" s="14">
        <v>44055</v>
      </c>
      <c r="H407">
        <v>2020</v>
      </c>
      <c r="I407" s="10" t="s">
        <v>1878</v>
      </c>
      <c r="J407" s="10" t="s">
        <v>29</v>
      </c>
      <c r="K407" s="15">
        <v>2619.6</v>
      </c>
    </row>
    <row r="408" spans="1:11" x14ac:dyDescent="0.35">
      <c r="A408" s="10" t="s">
        <v>1557</v>
      </c>
      <c r="B408" s="10" t="s">
        <v>520</v>
      </c>
      <c r="C408" s="10" t="s">
        <v>1558</v>
      </c>
      <c r="D408" s="10" t="s">
        <v>1878</v>
      </c>
      <c r="E408" s="10" t="s">
        <v>18</v>
      </c>
      <c r="F408" s="16" t="s">
        <v>18</v>
      </c>
      <c r="G408" s="14">
        <v>45001</v>
      </c>
      <c r="H408">
        <v>2023</v>
      </c>
      <c r="I408" s="10" t="s">
        <v>1878</v>
      </c>
      <c r="J408" s="10" t="s">
        <v>27</v>
      </c>
      <c r="K408" s="15">
        <v>1296</v>
      </c>
    </row>
    <row r="409" spans="1:11" x14ac:dyDescent="0.35">
      <c r="A409" s="10" t="s">
        <v>1560</v>
      </c>
      <c r="B409" s="10" t="s">
        <v>246</v>
      </c>
      <c r="C409" s="10" t="s">
        <v>18</v>
      </c>
      <c r="D409" s="16" t="s">
        <v>18</v>
      </c>
      <c r="E409" s="10" t="s">
        <v>2129</v>
      </c>
      <c r="F409" s="10" t="s">
        <v>1878</v>
      </c>
      <c r="G409" s="14">
        <v>44020</v>
      </c>
      <c r="H409">
        <v>2020</v>
      </c>
      <c r="I409" s="10" t="s">
        <v>1878</v>
      </c>
      <c r="J409" s="10" t="s">
        <v>24</v>
      </c>
      <c r="K409" s="15">
        <v>2560.6</v>
      </c>
    </row>
    <row r="410" spans="1:11" x14ac:dyDescent="0.35">
      <c r="A410" s="10" t="s">
        <v>1563</v>
      </c>
      <c r="B410" s="10" t="s">
        <v>1338</v>
      </c>
      <c r="C410" s="10" t="s">
        <v>1564</v>
      </c>
      <c r="D410" s="10" t="s">
        <v>1878</v>
      </c>
      <c r="E410" s="10" t="s">
        <v>18</v>
      </c>
      <c r="F410" s="16" t="s">
        <v>18</v>
      </c>
      <c r="G410" s="14">
        <v>44326</v>
      </c>
      <c r="H410">
        <v>2021</v>
      </c>
      <c r="I410" s="10" t="s">
        <v>1878</v>
      </c>
      <c r="J410" s="10" t="s">
        <v>24</v>
      </c>
      <c r="K410" s="15">
        <v>4351.95</v>
      </c>
    </row>
    <row r="411" spans="1:11" x14ac:dyDescent="0.35">
      <c r="A411" s="10" t="s">
        <v>1566</v>
      </c>
      <c r="B411" s="10" t="s">
        <v>441</v>
      </c>
      <c r="C411" s="10" t="s">
        <v>1567</v>
      </c>
      <c r="D411" s="10" t="s">
        <v>1878</v>
      </c>
      <c r="E411" s="10" t="s">
        <v>18</v>
      </c>
      <c r="F411" s="16" t="s">
        <v>18</v>
      </c>
      <c r="G411" s="14">
        <v>44081</v>
      </c>
      <c r="H411">
        <v>2020</v>
      </c>
      <c r="I411" s="10" t="s">
        <v>1878</v>
      </c>
      <c r="J411" s="10" t="s">
        <v>29</v>
      </c>
      <c r="K411" s="15">
        <v>4504.66</v>
      </c>
    </row>
    <row r="412" spans="1:11" x14ac:dyDescent="0.35">
      <c r="A412" s="10" t="s">
        <v>1569</v>
      </c>
      <c r="B412" s="10" t="s">
        <v>1130</v>
      </c>
      <c r="C412" s="10" t="s">
        <v>1570</v>
      </c>
      <c r="D412" s="10" t="s">
        <v>1878</v>
      </c>
      <c r="E412" s="10" t="s">
        <v>2130</v>
      </c>
      <c r="F412" s="10" t="s">
        <v>1878</v>
      </c>
      <c r="G412" s="14">
        <v>43478</v>
      </c>
      <c r="H412">
        <v>2019</v>
      </c>
      <c r="I412" s="10" t="s">
        <v>1878</v>
      </c>
      <c r="J412" s="10" t="s">
        <v>28</v>
      </c>
      <c r="K412" s="15">
        <v>1023.48</v>
      </c>
    </row>
    <row r="413" spans="1:11" x14ac:dyDescent="0.35">
      <c r="A413" s="10" t="s">
        <v>1573</v>
      </c>
      <c r="B413" s="10" t="s">
        <v>1014</v>
      </c>
      <c r="C413" s="10" t="s">
        <v>1574</v>
      </c>
      <c r="D413" s="10" t="s">
        <v>1878</v>
      </c>
      <c r="E413" s="10" t="s">
        <v>2131</v>
      </c>
      <c r="F413" s="10" t="s">
        <v>1878</v>
      </c>
      <c r="G413" s="14">
        <v>44748</v>
      </c>
      <c r="H413">
        <v>2022</v>
      </c>
      <c r="I413" s="10" t="s">
        <v>1878</v>
      </c>
      <c r="J413" s="10" t="s">
        <v>29</v>
      </c>
      <c r="K413" s="15">
        <v>1438</v>
      </c>
    </row>
    <row r="414" spans="1:11" x14ac:dyDescent="0.35">
      <c r="A414" s="10" t="s">
        <v>1577</v>
      </c>
      <c r="B414" s="10" t="s">
        <v>1114</v>
      </c>
      <c r="C414" s="10" t="s">
        <v>1578</v>
      </c>
      <c r="D414" s="10" t="s">
        <v>1878</v>
      </c>
      <c r="E414" s="10" t="s">
        <v>2132</v>
      </c>
      <c r="F414" s="10" t="s">
        <v>1878</v>
      </c>
      <c r="G414" s="14">
        <v>44066</v>
      </c>
      <c r="H414">
        <v>2020</v>
      </c>
      <c r="I414" s="10" t="s">
        <v>1878</v>
      </c>
      <c r="J414" s="10" t="s">
        <v>22</v>
      </c>
      <c r="K414" s="15">
        <v>2731.26</v>
      </c>
    </row>
    <row r="415" spans="1:11" x14ac:dyDescent="0.35">
      <c r="A415" s="10" t="s">
        <v>168</v>
      </c>
      <c r="B415" s="10" t="s">
        <v>105</v>
      </c>
      <c r="C415" s="10" t="s">
        <v>169</v>
      </c>
      <c r="D415" s="10" t="s">
        <v>1878</v>
      </c>
      <c r="E415" s="10" t="s">
        <v>1904</v>
      </c>
      <c r="F415" s="10" t="s">
        <v>1878</v>
      </c>
      <c r="G415" s="14">
        <v>45345</v>
      </c>
      <c r="H415">
        <v>2024</v>
      </c>
      <c r="I415" s="10" t="s">
        <v>1878</v>
      </c>
      <c r="J415" s="10" t="s">
        <v>20</v>
      </c>
      <c r="K415" s="15">
        <v>2119.75</v>
      </c>
    </row>
    <row r="416" spans="1:11" x14ac:dyDescent="0.35">
      <c r="A416" s="10" t="s">
        <v>1581</v>
      </c>
      <c r="B416" s="10" t="s">
        <v>80</v>
      </c>
      <c r="C416" s="10" t="s">
        <v>1582</v>
      </c>
      <c r="D416" s="10" t="s">
        <v>1878</v>
      </c>
      <c r="E416" s="10" t="s">
        <v>1583</v>
      </c>
      <c r="F416" s="10" t="s">
        <v>1878</v>
      </c>
      <c r="G416" s="14">
        <v>43965</v>
      </c>
      <c r="H416">
        <v>2020</v>
      </c>
      <c r="I416" s="10" t="s">
        <v>1878</v>
      </c>
      <c r="J416" s="10" t="s">
        <v>28</v>
      </c>
      <c r="K416" s="15">
        <v>2374.62</v>
      </c>
    </row>
    <row r="417" spans="1:11" x14ac:dyDescent="0.35">
      <c r="A417" s="10" t="s">
        <v>1585</v>
      </c>
      <c r="B417" s="10" t="s">
        <v>721</v>
      </c>
      <c r="C417" s="10" t="s">
        <v>1586</v>
      </c>
      <c r="D417" s="10" t="s">
        <v>1878</v>
      </c>
      <c r="E417" s="10" t="s">
        <v>2133</v>
      </c>
      <c r="F417" s="10" t="s">
        <v>1878</v>
      </c>
      <c r="G417" s="14">
        <v>44806</v>
      </c>
      <c r="H417">
        <v>2022</v>
      </c>
      <c r="I417" s="10" t="s">
        <v>1878</v>
      </c>
      <c r="J417" s="10" t="s">
        <v>22</v>
      </c>
      <c r="K417" s="15">
        <v>4446.09</v>
      </c>
    </row>
    <row r="418" spans="1:11" x14ac:dyDescent="0.35">
      <c r="A418" s="10" t="s">
        <v>1589</v>
      </c>
      <c r="B418" s="10" t="s">
        <v>58</v>
      </c>
      <c r="C418" s="10" t="s">
        <v>1590</v>
      </c>
      <c r="D418" s="10" t="s">
        <v>1878</v>
      </c>
      <c r="E418" s="10" t="s">
        <v>1591</v>
      </c>
      <c r="F418" s="10" t="s">
        <v>1878</v>
      </c>
      <c r="G418" s="17" t="s">
        <v>18</v>
      </c>
      <c r="I418" s="16" t="s">
        <v>18</v>
      </c>
      <c r="J418" s="10" t="s">
        <v>20</v>
      </c>
      <c r="K418" s="15">
        <v>179.06</v>
      </c>
    </row>
    <row r="419" spans="1:11" x14ac:dyDescent="0.35">
      <c r="A419" s="10" t="s">
        <v>1592</v>
      </c>
      <c r="B419" s="10" t="s">
        <v>58</v>
      </c>
      <c r="C419" s="10" t="s">
        <v>1593</v>
      </c>
      <c r="D419" s="10" t="s">
        <v>1878</v>
      </c>
      <c r="E419" s="10" t="s">
        <v>1594</v>
      </c>
      <c r="F419" s="10" t="s">
        <v>1878</v>
      </c>
      <c r="G419" s="14">
        <v>44692</v>
      </c>
      <c r="H419">
        <v>2022</v>
      </c>
      <c r="I419" s="10" t="s">
        <v>1878</v>
      </c>
      <c r="J419" s="10" t="s">
        <v>22</v>
      </c>
      <c r="K419" s="15">
        <v>624.79999999999995</v>
      </c>
    </row>
    <row r="420" spans="1:11" x14ac:dyDescent="0.35">
      <c r="A420" s="10" t="s">
        <v>1596</v>
      </c>
      <c r="B420" s="10" t="s">
        <v>461</v>
      </c>
      <c r="C420" s="10" t="s">
        <v>1597</v>
      </c>
      <c r="D420" s="10" t="s">
        <v>1878</v>
      </c>
      <c r="E420" s="10" t="s">
        <v>1598</v>
      </c>
      <c r="F420" s="10" t="s">
        <v>1878</v>
      </c>
      <c r="G420" s="14">
        <v>43481</v>
      </c>
      <c r="H420">
        <v>2019</v>
      </c>
      <c r="I420" s="10" t="s">
        <v>1878</v>
      </c>
      <c r="J420" s="10" t="s">
        <v>27</v>
      </c>
      <c r="K420" s="15">
        <v>215.57</v>
      </c>
    </row>
    <row r="421" spans="1:11" x14ac:dyDescent="0.35">
      <c r="A421" s="10" t="s">
        <v>1600</v>
      </c>
      <c r="B421" s="10" t="s">
        <v>220</v>
      </c>
      <c r="C421" s="10" t="s">
        <v>1601</v>
      </c>
      <c r="D421" s="10" t="s">
        <v>1878</v>
      </c>
      <c r="E421" s="10" t="s">
        <v>2134</v>
      </c>
      <c r="F421" s="10" t="s">
        <v>1878</v>
      </c>
      <c r="G421" s="14">
        <v>43469</v>
      </c>
      <c r="H421">
        <v>2019</v>
      </c>
      <c r="I421" s="10" t="s">
        <v>1878</v>
      </c>
      <c r="J421" s="10" t="s">
        <v>27</v>
      </c>
      <c r="K421" s="15">
        <v>3505.12</v>
      </c>
    </row>
    <row r="422" spans="1:11" x14ac:dyDescent="0.35">
      <c r="A422" s="10" t="s">
        <v>1603</v>
      </c>
      <c r="B422" s="10" t="s">
        <v>863</v>
      </c>
      <c r="C422" s="10" t="s">
        <v>1604</v>
      </c>
      <c r="D422" s="10" t="s">
        <v>1878</v>
      </c>
      <c r="E422" s="10" t="s">
        <v>2135</v>
      </c>
      <c r="F422" s="10" t="s">
        <v>1878</v>
      </c>
      <c r="G422" s="14">
        <v>45085</v>
      </c>
      <c r="H422">
        <v>2023</v>
      </c>
      <c r="I422" s="10" t="s">
        <v>1878</v>
      </c>
      <c r="J422" s="10" t="s">
        <v>20</v>
      </c>
      <c r="K422" s="15">
        <v>3702.69</v>
      </c>
    </row>
    <row r="423" spans="1:11" x14ac:dyDescent="0.35">
      <c r="A423" s="10" t="s">
        <v>1607</v>
      </c>
      <c r="B423" s="10" t="s">
        <v>453</v>
      </c>
      <c r="C423" s="10" t="s">
        <v>1608</v>
      </c>
      <c r="D423" s="10" t="s">
        <v>1878</v>
      </c>
      <c r="E423" s="10" t="s">
        <v>18</v>
      </c>
      <c r="F423" s="16" t="s">
        <v>18</v>
      </c>
      <c r="G423" s="14">
        <v>43648</v>
      </c>
      <c r="H423">
        <v>2019</v>
      </c>
      <c r="I423" s="10" t="s">
        <v>1878</v>
      </c>
      <c r="J423" s="10" t="s">
        <v>24</v>
      </c>
      <c r="K423" s="15">
        <v>2619.9699999999998</v>
      </c>
    </row>
    <row r="424" spans="1:11" x14ac:dyDescent="0.35">
      <c r="A424" s="10" t="s">
        <v>1610</v>
      </c>
      <c r="B424" s="10" t="s">
        <v>1079</v>
      </c>
      <c r="C424" s="10" t="s">
        <v>1611</v>
      </c>
      <c r="D424" s="10" t="s">
        <v>1878</v>
      </c>
      <c r="E424" s="10" t="s">
        <v>1612</v>
      </c>
      <c r="F424" s="10" t="s">
        <v>1878</v>
      </c>
      <c r="G424" s="14">
        <v>44476</v>
      </c>
      <c r="H424">
        <v>2021</v>
      </c>
      <c r="I424" s="10" t="s">
        <v>1878</v>
      </c>
      <c r="J424" s="10" t="s">
        <v>29</v>
      </c>
      <c r="K424" s="15">
        <v>4648.0600000000004</v>
      </c>
    </row>
    <row r="425" spans="1:11" x14ac:dyDescent="0.35">
      <c r="A425" s="10" t="s">
        <v>1614</v>
      </c>
      <c r="B425" s="10" t="s">
        <v>385</v>
      </c>
      <c r="C425" s="10" t="s">
        <v>1615</v>
      </c>
      <c r="D425" s="10" t="s">
        <v>1878</v>
      </c>
      <c r="E425" s="10" t="s">
        <v>1616</v>
      </c>
      <c r="F425" s="10" t="s">
        <v>1878</v>
      </c>
      <c r="G425" s="14">
        <v>45353</v>
      </c>
      <c r="H425">
        <v>2024</v>
      </c>
      <c r="I425" s="10" t="s">
        <v>1878</v>
      </c>
      <c r="J425" s="10" t="s">
        <v>27</v>
      </c>
      <c r="K425" s="15">
        <v>-3100</v>
      </c>
    </row>
    <row r="426" spans="1:11" x14ac:dyDescent="0.35">
      <c r="A426" s="10" t="s">
        <v>1618</v>
      </c>
      <c r="B426" s="10" t="s">
        <v>225</v>
      </c>
      <c r="C426" s="10" t="s">
        <v>1619</v>
      </c>
      <c r="D426" s="10" t="s">
        <v>1878</v>
      </c>
      <c r="E426" s="10" t="s">
        <v>2136</v>
      </c>
      <c r="F426" s="10" t="s">
        <v>1878</v>
      </c>
      <c r="G426" s="17" t="s">
        <v>18</v>
      </c>
      <c r="I426" s="16" t="s">
        <v>18</v>
      </c>
      <c r="J426" s="10" t="s">
        <v>27</v>
      </c>
      <c r="K426" s="15">
        <v>866.76</v>
      </c>
    </row>
    <row r="427" spans="1:11" x14ac:dyDescent="0.35">
      <c r="A427" s="10" t="s">
        <v>1621</v>
      </c>
      <c r="B427" s="10" t="s">
        <v>739</v>
      </c>
      <c r="C427" s="10" t="s">
        <v>1622</v>
      </c>
      <c r="D427" s="10" t="s">
        <v>1878</v>
      </c>
      <c r="E427" s="10" t="s">
        <v>1623</v>
      </c>
      <c r="F427" s="10" t="s">
        <v>1878</v>
      </c>
      <c r="G427" s="17" t="s">
        <v>18</v>
      </c>
      <c r="I427" s="16" t="s">
        <v>18</v>
      </c>
      <c r="J427" s="10" t="s">
        <v>27</v>
      </c>
      <c r="K427" s="15">
        <v>859.99</v>
      </c>
    </row>
    <row r="428" spans="1:11" x14ac:dyDescent="0.35">
      <c r="A428" s="10" t="s">
        <v>1624</v>
      </c>
      <c r="B428" s="10" t="s">
        <v>234</v>
      </c>
      <c r="C428" s="10" t="s">
        <v>1625</v>
      </c>
      <c r="D428" s="10" t="s">
        <v>1878</v>
      </c>
      <c r="E428" s="10" t="s">
        <v>1626</v>
      </c>
      <c r="F428" s="10" t="s">
        <v>1878</v>
      </c>
      <c r="G428" s="14">
        <v>44236</v>
      </c>
      <c r="H428">
        <v>2021</v>
      </c>
      <c r="I428" s="10" t="s">
        <v>1878</v>
      </c>
      <c r="J428" s="10" t="s">
        <v>29</v>
      </c>
      <c r="K428" s="15">
        <v>698</v>
      </c>
    </row>
    <row r="429" spans="1:11" x14ac:dyDescent="0.35">
      <c r="A429" s="10" t="s">
        <v>1628</v>
      </c>
      <c r="B429" s="10" t="s">
        <v>234</v>
      </c>
      <c r="C429" s="10" t="s">
        <v>1629</v>
      </c>
      <c r="D429" s="10" t="s">
        <v>1878</v>
      </c>
      <c r="E429" s="10" t="s">
        <v>2137</v>
      </c>
      <c r="F429" s="10" t="s">
        <v>1878</v>
      </c>
      <c r="G429" s="14">
        <v>43625</v>
      </c>
      <c r="H429">
        <v>2019</v>
      </c>
      <c r="I429" s="10" t="s">
        <v>1878</v>
      </c>
      <c r="J429" s="10" t="s">
        <v>24</v>
      </c>
      <c r="K429" s="15">
        <v>2752.69</v>
      </c>
    </row>
    <row r="430" spans="1:11" x14ac:dyDescent="0.35">
      <c r="A430" s="10" t="s">
        <v>1632</v>
      </c>
      <c r="B430" s="10" t="s">
        <v>1633</v>
      </c>
      <c r="C430" s="10" t="s">
        <v>1634</v>
      </c>
      <c r="D430" s="10" t="s">
        <v>1878</v>
      </c>
      <c r="E430" s="10" t="s">
        <v>1635</v>
      </c>
      <c r="F430" s="10" t="s">
        <v>1878</v>
      </c>
      <c r="G430" s="14">
        <v>44744</v>
      </c>
      <c r="H430">
        <v>2022</v>
      </c>
      <c r="I430" s="10" t="s">
        <v>1878</v>
      </c>
      <c r="J430" s="10" t="s">
        <v>29</v>
      </c>
      <c r="K430" s="15">
        <v>2750.04</v>
      </c>
    </row>
    <row r="431" spans="1:11" x14ac:dyDescent="0.35">
      <c r="A431" s="10" t="s">
        <v>1637</v>
      </c>
      <c r="B431" s="10" t="s">
        <v>1338</v>
      </c>
      <c r="C431" s="10" t="s">
        <v>1638</v>
      </c>
      <c r="D431" s="10" t="s">
        <v>1878</v>
      </c>
      <c r="E431" s="10" t="s">
        <v>1639</v>
      </c>
      <c r="F431" s="10" t="s">
        <v>1878</v>
      </c>
      <c r="G431" s="14">
        <v>43854</v>
      </c>
      <c r="H431">
        <v>2020</v>
      </c>
      <c r="I431" s="10" t="s">
        <v>1878</v>
      </c>
      <c r="J431" s="10" t="s">
        <v>29</v>
      </c>
      <c r="K431" s="15">
        <v>3303.1</v>
      </c>
    </row>
    <row r="432" spans="1:11" x14ac:dyDescent="0.35">
      <c r="A432" s="10" t="s">
        <v>1641</v>
      </c>
      <c r="B432" s="10" t="s">
        <v>313</v>
      </c>
      <c r="C432" s="10" t="s">
        <v>1642</v>
      </c>
      <c r="D432" s="10" t="s">
        <v>1878</v>
      </c>
      <c r="E432" s="10" t="s">
        <v>2138</v>
      </c>
      <c r="F432" s="10" t="s">
        <v>1878</v>
      </c>
      <c r="G432" s="14">
        <v>45452</v>
      </c>
      <c r="H432">
        <v>2024</v>
      </c>
      <c r="I432" s="10" t="s">
        <v>1878</v>
      </c>
      <c r="J432" s="10" t="s">
        <v>20</v>
      </c>
      <c r="K432" s="15">
        <v>4060.04</v>
      </c>
    </row>
    <row r="433" spans="1:11" x14ac:dyDescent="0.35">
      <c r="A433" s="10" t="s">
        <v>1645</v>
      </c>
      <c r="B433" s="10" t="s">
        <v>155</v>
      </c>
      <c r="C433" s="10" t="s">
        <v>1646</v>
      </c>
      <c r="D433" s="10" t="s">
        <v>1878</v>
      </c>
      <c r="E433" s="10" t="s">
        <v>18</v>
      </c>
      <c r="F433" s="16" t="s">
        <v>18</v>
      </c>
      <c r="G433" s="14">
        <v>44601</v>
      </c>
      <c r="H433">
        <v>2022</v>
      </c>
      <c r="I433" s="10" t="s">
        <v>1878</v>
      </c>
      <c r="J433" s="10" t="s">
        <v>29</v>
      </c>
      <c r="K433" s="15">
        <v>1158.71</v>
      </c>
    </row>
    <row r="434" spans="1:11" x14ac:dyDescent="0.35">
      <c r="A434" s="10" t="s">
        <v>1648</v>
      </c>
      <c r="B434" s="10" t="s">
        <v>1202</v>
      </c>
      <c r="C434" s="10" t="s">
        <v>1649</v>
      </c>
      <c r="D434" s="10" t="s">
        <v>1878</v>
      </c>
      <c r="E434" s="10" t="s">
        <v>1650</v>
      </c>
      <c r="F434" s="10" t="s">
        <v>1878</v>
      </c>
      <c r="G434" s="17" t="s">
        <v>18</v>
      </c>
      <c r="I434" s="16" t="s">
        <v>18</v>
      </c>
      <c r="J434" s="10" t="s">
        <v>28</v>
      </c>
      <c r="K434" s="15">
        <v>3530.57</v>
      </c>
    </row>
    <row r="435" spans="1:11" x14ac:dyDescent="0.35">
      <c r="A435" s="10" t="s">
        <v>1651</v>
      </c>
      <c r="B435" s="10" t="s">
        <v>97</v>
      </c>
      <c r="C435" s="10" t="s">
        <v>1652</v>
      </c>
      <c r="D435" s="10" t="s">
        <v>1878</v>
      </c>
      <c r="E435" s="10" t="s">
        <v>2139</v>
      </c>
      <c r="F435" s="10" t="s">
        <v>1878</v>
      </c>
      <c r="G435" s="14">
        <v>43542</v>
      </c>
      <c r="H435">
        <v>2019</v>
      </c>
      <c r="I435" s="10" t="s">
        <v>1878</v>
      </c>
      <c r="J435" s="10" t="s">
        <v>22</v>
      </c>
      <c r="K435" s="15">
        <v>1978.6</v>
      </c>
    </row>
    <row r="436" spans="1:11" x14ac:dyDescent="0.35">
      <c r="A436" s="10" t="s">
        <v>1655</v>
      </c>
      <c r="B436" s="10" t="s">
        <v>552</v>
      </c>
      <c r="C436" s="10" t="s">
        <v>1656</v>
      </c>
      <c r="D436" s="10" t="s">
        <v>1878</v>
      </c>
      <c r="E436" s="10" t="s">
        <v>1657</v>
      </c>
      <c r="F436" s="10" t="s">
        <v>1878</v>
      </c>
      <c r="G436" s="14">
        <v>45193</v>
      </c>
      <c r="H436">
        <v>2023</v>
      </c>
      <c r="I436" s="10" t="s">
        <v>1878</v>
      </c>
      <c r="J436" s="10" t="s">
        <v>20</v>
      </c>
      <c r="K436" s="15">
        <v>1019.04</v>
      </c>
    </row>
    <row r="437" spans="1:11" x14ac:dyDescent="0.35">
      <c r="A437" s="10" t="s">
        <v>1659</v>
      </c>
      <c r="B437" s="10" t="s">
        <v>557</v>
      </c>
      <c r="C437" s="10" t="s">
        <v>1660</v>
      </c>
      <c r="D437" s="10" t="s">
        <v>1878</v>
      </c>
      <c r="E437" s="10" t="s">
        <v>1661</v>
      </c>
      <c r="F437" s="10" t="s">
        <v>1878</v>
      </c>
      <c r="G437" s="14">
        <v>43816</v>
      </c>
      <c r="H437">
        <v>2019</v>
      </c>
      <c r="I437" s="10" t="s">
        <v>1878</v>
      </c>
      <c r="J437" s="10" t="s">
        <v>27</v>
      </c>
      <c r="K437" s="15">
        <v>2414.5500000000002</v>
      </c>
    </row>
    <row r="438" spans="1:11" x14ac:dyDescent="0.35">
      <c r="A438" s="10" t="s">
        <v>1662</v>
      </c>
      <c r="B438" s="10" t="s">
        <v>557</v>
      </c>
      <c r="C438" s="10" t="s">
        <v>1663</v>
      </c>
      <c r="D438" s="10" t="s">
        <v>1878</v>
      </c>
      <c r="E438" s="10" t="s">
        <v>2140</v>
      </c>
      <c r="F438" s="10" t="s">
        <v>1878</v>
      </c>
      <c r="G438" s="14">
        <v>45162</v>
      </c>
      <c r="H438">
        <v>2023</v>
      </c>
      <c r="I438" s="10" t="s">
        <v>1878</v>
      </c>
      <c r="J438" s="10" t="s">
        <v>22</v>
      </c>
      <c r="K438" s="15">
        <v>4743.1099999999997</v>
      </c>
    </row>
    <row r="439" spans="1:11" x14ac:dyDescent="0.35">
      <c r="A439" s="10" t="s">
        <v>1666</v>
      </c>
      <c r="B439" s="10" t="s">
        <v>75</v>
      </c>
      <c r="C439" s="10" t="s">
        <v>18</v>
      </c>
      <c r="D439" s="16" t="s">
        <v>18</v>
      </c>
      <c r="E439" s="10" t="s">
        <v>2141</v>
      </c>
      <c r="F439" s="10" t="s">
        <v>1878</v>
      </c>
      <c r="G439" s="17" t="s">
        <v>18</v>
      </c>
      <c r="I439" s="16" t="s">
        <v>18</v>
      </c>
      <c r="J439" s="10" t="s">
        <v>28</v>
      </c>
      <c r="K439" s="15">
        <v>4597</v>
      </c>
    </row>
    <row r="440" spans="1:11" x14ac:dyDescent="0.35">
      <c r="A440" s="10" t="s">
        <v>1668</v>
      </c>
      <c r="B440" s="10" t="s">
        <v>1313</v>
      </c>
      <c r="C440" s="10" t="s">
        <v>1669</v>
      </c>
      <c r="D440" s="10" t="s">
        <v>1878</v>
      </c>
      <c r="E440" s="10" t="s">
        <v>1670</v>
      </c>
      <c r="F440" s="10" t="s">
        <v>1878</v>
      </c>
      <c r="G440" s="14">
        <v>44131</v>
      </c>
      <c r="H440">
        <v>2020</v>
      </c>
      <c r="I440" s="10" t="s">
        <v>1878</v>
      </c>
      <c r="J440" s="10" t="s">
        <v>26</v>
      </c>
      <c r="K440" s="15">
        <v>3228</v>
      </c>
    </row>
    <row r="441" spans="1:11" x14ac:dyDescent="0.35">
      <c r="A441" s="10" t="s">
        <v>1672</v>
      </c>
      <c r="B441" s="10" t="s">
        <v>45</v>
      </c>
      <c r="C441" s="10" t="s">
        <v>1673</v>
      </c>
      <c r="D441" s="10" t="s">
        <v>1878</v>
      </c>
      <c r="E441" s="10" t="s">
        <v>1674</v>
      </c>
      <c r="F441" s="10" t="s">
        <v>1878</v>
      </c>
      <c r="G441" s="14">
        <v>43571</v>
      </c>
      <c r="H441">
        <v>2019</v>
      </c>
      <c r="I441" s="10" t="s">
        <v>1878</v>
      </c>
      <c r="J441" s="10" t="s">
        <v>26</v>
      </c>
      <c r="K441" s="15">
        <v>1102.76</v>
      </c>
    </row>
    <row r="442" spans="1:11" x14ac:dyDescent="0.35">
      <c r="A442" s="10" t="s">
        <v>1676</v>
      </c>
      <c r="B442" s="10" t="s">
        <v>1249</v>
      </c>
      <c r="C442" s="10" t="s">
        <v>1677</v>
      </c>
      <c r="D442" s="10" t="s">
        <v>1878</v>
      </c>
      <c r="E442" s="10" t="s">
        <v>18</v>
      </c>
      <c r="F442" s="16" t="s">
        <v>18</v>
      </c>
      <c r="G442" s="14">
        <v>44224</v>
      </c>
      <c r="H442">
        <v>2021</v>
      </c>
      <c r="I442" s="10" t="s">
        <v>1878</v>
      </c>
      <c r="J442" s="10" t="s">
        <v>29</v>
      </c>
      <c r="K442" s="15">
        <v>2556.09</v>
      </c>
    </row>
    <row r="443" spans="1:11" x14ac:dyDescent="0.35">
      <c r="A443" s="10" t="s">
        <v>1679</v>
      </c>
      <c r="B443" s="10" t="s">
        <v>288</v>
      </c>
      <c r="C443" s="10" t="s">
        <v>1680</v>
      </c>
      <c r="D443" s="10" t="s">
        <v>1878</v>
      </c>
      <c r="E443" s="10" t="s">
        <v>2142</v>
      </c>
      <c r="F443" s="10" t="s">
        <v>1878</v>
      </c>
      <c r="G443" s="14">
        <v>44386</v>
      </c>
      <c r="H443">
        <v>2021</v>
      </c>
      <c r="I443" s="10" t="s">
        <v>1878</v>
      </c>
      <c r="J443" s="10" t="s">
        <v>26</v>
      </c>
      <c r="K443" s="15">
        <v>2861.89</v>
      </c>
    </row>
    <row r="444" spans="1:11" x14ac:dyDescent="0.35">
      <c r="A444" s="10" t="s">
        <v>1682</v>
      </c>
      <c r="B444" s="10" t="s">
        <v>927</v>
      </c>
      <c r="C444" s="10" t="s">
        <v>2143</v>
      </c>
      <c r="D444" s="10" t="s">
        <v>1878</v>
      </c>
      <c r="E444" s="10" t="s">
        <v>2144</v>
      </c>
      <c r="F444" s="10" t="s">
        <v>1878</v>
      </c>
      <c r="G444" s="14">
        <v>45351</v>
      </c>
      <c r="H444">
        <v>2024</v>
      </c>
      <c r="I444" s="10" t="s">
        <v>1878</v>
      </c>
      <c r="J444" s="10" t="s">
        <v>26</v>
      </c>
      <c r="K444" s="15">
        <v>4670.53</v>
      </c>
    </row>
    <row r="445" spans="1:11" x14ac:dyDescent="0.35">
      <c r="A445" s="10" t="s">
        <v>1686</v>
      </c>
      <c r="B445" s="10" t="s">
        <v>368</v>
      </c>
      <c r="C445" s="10" t="s">
        <v>18</v>
      </c>
      <c r="D445" s="16" t="s">
        <v>18</v>
      </c>
      <c r="E445" s="10" t="s">
        <v>2145</v>
      </c>
      <c r="F445" s="10" t="s">
        <v>1878</v>
      </c>
      <c r="G445" s="14">
        <v>44219</v>
      </c>
      <c r="H445">
        <v>2021</v>
      </c>
      <c r="I445" s="10" t="s">
        <v>1878</v>
      </c>
      <c r="J445" s="10" t="s">
        <v>29</v>
      </c>
      <c r="K445" s="15">
        <v>2302.71</v>
      </c>
    </row>
    <row r="446" spans="1:11" x14ac:dyDescent="0.35">
      <c r="A446" s="10" t="s">
        <v>1689</v>
      </c>
      <c r="B446" s="10" t="s">
        <v>354</v>
      </c>
      <c r="C446" s="10" t="s">
        <v>1690</v>
      </c>
      <c r="D446" s="10" t="s">
        <v>1878</v>
      </c>
      <c r="E446" s="10" t="s">
        <v>2146</v>
      </c>
      <c r="F446" s="10" t="s">
        <v>1878</v>
      </c>
      <c r="G446" s="14">
        <v>44888</v>
      </c>
      <c r="H446">
        <v>2022</v>
      </c>
      <c r="I446" s="10" t="s">
        <v>1878</v>
      </c>
      <c r="J446" s="10" t="s">
        <v>20</v>
      </c>
      <c r="K446" s="15">
        <v>1824.81</v>
      </c>
    </row>
    <row r="447" spans="1:11" x14ac:dyDescent="0.35">
      <c r="A447" s="10" t="s">
        <v>1693</v>
      </c>
      <c r="B447" s="10" t="s">
        <v>58</v>
      </c>
      <c r="C447" s="10" t="s">
        <v>1694</v>
      </c>
      <c r="D447" s="10" t="s">
        <v>1878</v>
      </c>
      <c r="E447" s="10" t="s">
        <v>2147</v>
      </c>
      <c r="F447" s="10" t="s">
        <v>1878</v>
      </c>
      <c r="G447" s="14">
        <v>43751</v>
      </c>
      <c r="H447">
        <v>2019</v>
      </c>
      <c r="I447" s="10" t="s">
        <v>1878</v>
      </c>
      <c r="J447" s="10" t="s">
        <v>27</v>
      </c>
      <c r="K447" s="15">
        <v>-1438</v>
      </c>
    </row>
    <row r="448" spans="1:11" x14ac:dyDescent="0.35">
      <c r="A448" s="10" t="s">
        <v>1697</v>
      </c>
      <c r="B448" s="10" t="s">
        <v>1317</v>
      </c>
      <c r="C448" s="10" t="s">
        <v>18</v>
      </c>
      <c r="D448" s="16" t="s">
        <v>18</v>
      </c>
      <c r="E448" s="10" t="s">
        <v>2148</v>
      </c>
      <c r="F448" s="10" t="s">
        <v>1878</v>
      </c>
      <c r="G448" s="14">
        <v>44052</v>
      </c>
      <c r="H448">
        <v>2020</v>
      </c>
      <c r="I448" s="10" t="s">
        <v>1878</v>
      </c>
      <c r="J448" s="10" t="s">
        <v>22</v>
      </c>
      <c r="K448" s="15">
        <v>768.18</v>
      </c>
    </row>
    <row r="449" spans="1:11" x14ac:dyDescent="0.35">
      <c r="A449" s="10" t="s">
        <v>1700</v>
      </c>
      <c r="B449" s="10" t="s">
        <v>1701</v>
      </c>
      <c r="C449" s="10" t="s">
        <v>18</v>
      </c>
      <c r="D449" s="16" t="s">
        <v>18</v>
      </c>
      <c r="E449" s="10" t="s">
        <v>2149</v>
      </c>
      <c r="F449" s="10" t="s">
        <v>1878</v>
      </c>
      <c r="G449" s="14">
        <v>44627</v>
      </c>
      <c r="H449">
        <v>2022</v>
      </c>
      <c r="I449" s="10" t="s">
        <v>1878</v>
      </c>
      <c r="J449" s="10" t="s">
        <v>27</v>
      </c>
      <c r="K449" s="15">
        <v>3980.26</v>
      </c>
    </row>
    <row r="450" spans="1:11" x14ac:dyDescent="0.35">
      <c r="A450" s="10" t="s">
        <v>1704</v>
      </c>
      <c r="B450" s="10" t="s">
        <v>445</v>
      </c>
      <c r="C450" s="10" t="s">
        <v>1705</v>
      </c>
      <c r="D450" s="10" t="s">
        <v>1878</v>
      </c>
      <c r="E450" s="10" t="s">
        <v>18</v>
      </c>
      <c r="F450" s="16" t="s">
        <v>18</v>
      </c>
      <c r="G450" s="14">
        <v>43697</v>
      </c>
      <c r="H450">
        <v>2019</v>
      </c>
      <c r="I450" s="10" t="s">
        <v>1878</v>
      </c>
      <c r="J450" s="10" t="s">
        <v>27</v>
      </c>
      <c r="K450" s="15">
        <v>3082.27</v>
      </c>
    </row>
    <row r="451" spans="1:11" x14ac:dyDescent="0.35">
      <c r="A451" s="10" t="s">
        <v>1707</v>
      </c>
      <c r="B451" s="10" t="s">
        <v>682</v>
      </c>
      <c r="C451" s="10" t="s">
        <v>1708</v>
      </c>
      <c r="D451" s="10" t="s">
        <v>1878</v>
      </c>
      <c r="E451" s="10" t="s">
        <v>2150</v>
      </c>
      <c r="F451" s="10" t="s">
        <v>1878</v>
      </c>
      <c r="G451" s="14">
        <v>43724</v>
      </c>
      <c r="H451">
        <v>2019</v>
      </c>
      <c r="I451" s="10" t="s">
        <v>1878</v>
      </c>
      <c r="J451" s="10" t="s">
        <v>20</v>
      </c>
      <c r="K451" s="15">
        <v>1643.95</v>
      </c>
    </row>
    <row r="452" spans="1:11" x14ac:dyDescent="0.35">
      <c r="A452" s="10" t="s">
        <v>1711</v>
      </c>
      <c r="B452" s="10" t="s">
        <v>1211</v>
      </c>
      <c r="C452" s="10" t="s">
        <v>1712</v>
      </c>
      <c r="D452" s="10" t="s">
        <v>1878</v>
      </c>
      <c r="E452" s="10" t="s">
        <v>2151</v>
      </c>
      <c r="F452" s="10" t="s">
        <v>1878</v>
      </c>
      <c r="G452" s="14">
        <v>44653</v>
      </c>
      <c r="H452">
        <v>2022</v>
      </c>
      <c r="I452" s="10" t="s">
        <v>1878</v>
      </c>
      <c r="J452" s="10" t="s">
        <v>28</v>
      </c>
      <c r="K452" s="15">
        <v>3714.91</v>
      </c>
    </row>
    <row r="453" spans="1:11" x14ac:dyDescent="0.35">
      <c r="A453" s="10" t="s">
        <v>1715</v>
      </c>
      <c r="B453" s="10" t="s">
        <v>1004</v>
      </c>
      <c r="C453" s="10" t="s">
        <v>1716</v>
      </c>
      <c r="D453" s="10" t="s">
        <v>1878</v>
      </c>
      <c r="E453" s="10" t="s">
        <v>2152</v>
      </c>
      <c r="F453" s="10" t="s">
        <v>1878</v>
      </c>
      <c r="G453" s="14">
        <v>45152</v>
      </c>
      <c r="H453">
        <v>2023</v>
      </c>
      <c r="I453" s="10" t="s">
        <v>1878</v>
      </c>
      <c r="J453" s="10" t="s">
        <v>20</v>
      </c>
      <c r="K453" s="15">
        <v>1520.46</v>
      </c>
    </row>
    <row r="454" spans="1:11" x14ac:dyDescent="0.35">
      <c r="A454" s="10" t="s">
        <v>1719</v>
      </c>
      <c r="B454" s="10" t="s">
        <v>275</v>
      </c>
      <c r="C454" s="10" t="s">
        <v>1720</v>
      </c>
      <c r="D454" s="10" t="s">
        <v>1878</v>
      </c>
      <c r="E454" s="10" t="s">
        <v>2153</v>
      </c>
      <c r="F454" s="10" t="s">
        <v>1878</v>
      </c>
      <c r="G454" s="14">
        <v>44787</v>
      </c>
      <c r="H454">
        <v>2022</v>
      </c>
      <c r="I454" s="10" t="s">
        <v>1878</v>
      </c>
      <c r="J454" s="10" t="s">
        <v>29</v>
      </c>
      <c r="K454" s="15">
        <v>1843.44</v>
      </c>
    </row>
    <row r="455" spans="1:11" x14ac:dyDescent="0.35">
      <c r="A455" s="10" t="s">
        <v>1723</v>
      </c>
      <c r="B455" s="10" t="s">
        <v>785</v>
      </c>
      <c r="C455" s="10" t="s">
        <v>1724</v>
      </c>
      <c r="D455" s="10" t="s">
        <v>1878</v>
      </c>
      <c r="E455" s="10" t="s">
        <v>2154</v>
      </c>
      <c r="F455" s="10" t="s">
        <v>1878</v>
      </c>
      <c r="G455" s="14">
        <v>45075</v>
      </c>
      <c r="H455">
        <v>2023</v>
      </c>
      <c r="I455" s="10" t="s">
        <v>1878</v>
      </c>
      <c r="J455" s="10" t="s">
        <v>29</v>
      </c>
      <c r="K455" s="15">
        <v>3569.35</v>
      </c>
    </row>
    <row r="456" spans="1:11" x14ac:dyDescent="0.35">
      <c r="A456" s="10" t="s">
        <v>1726</v>
      </c>
      <c r="B456" s="10" t="s">
        <v>1727</v>
      </c>
      <c r="C456" s="10" t="s">
        <v>1728</v>
      </c>
      <c r="D456" s="10" t="s">
        <v>1878</v>
      </c>
      <c r="E456" s="10" t="s">
        <v>2155</v>
      </c>
      <c r="F456" s="10" t="s">
        <v>1878</v>
      </c>
      <c r="G456" s="14">
        <v>45024</v>
      </c>
      <c r="H456">
        <v>2023</v>
      </c>
      <c r="I456" s="10" t="s">
        <v>1878</v>
      </c>
      <c r="J456" s="10" t="s">
        <v>28</v>
      </c>
      <c r="K456" s="15">
        <v>4224.6000000000004</v>
      </c>
    </row>
    <row r="457" spans="1:11" x14ac:dyDescent="0.35">
      <c r="A457" s="10" t="s">
        <v>1731</v>
      </c>
      <c r="B457" s="10" t="s">
        <v>1501</v>
      </c>
      <c r="C457" s="10" t="s">
        <v>1732</v>
      </c>
      <c r="D457" s="10" t="s">
        <v>1878</v>
      </c>
      <c r="E457" s="10" t="s">
        <v>18</v>
      </c>
      <c r="F457" s="16" t="s">
        <v>18</v>
      </c>
      <c r="G457" s="14">
        <v>44191</v>
      </c>
      <c r="H457">
        <v>2020</v>
      </c>
      <c r="I457" s="10" t="s">
        <v>1878</v>
      </c>
      <c r="J457" s="10" t="s">
        <v>29</v>
      </c>
      <c r="K457" s="15">
        <v>2375.1999999999998</v>
      </c>
    </row>
    <row r="458" spans="1:11" x14ac:dyDescent="0.35">
      <c r="A458" s="10" t="s">
        <v>1733</v>
      </c>
      <c r="B458" s="10" t="s">
        <v>173</v>
      </c>
      <c r="C458" s="10" t="s">
        <v>1734</v>
      </c>
      <c r="D458" s="10" t="s">
        <v>1878</v>
      </c>
      <c r="E458" s="10" t="s">
        <v>18</v>
      </c>
      <c r="F458" s="16" t="s">
        <v>18</v>
      </c>
      <c r="G458" s="14">
        <v>45155</v>
      </c>
      <c r="H458">
        <v>2023</v>
      </c>
      <c r="I458" s="10" t="s">
        <v>1878</v>
      </c>
      <c r="J458" s="10" t="s">
        <v>24</v>
      </c>
      <c r="K458" s="15">
        <v>1024.97</v>
      </c>
    </row>
    <row r="459" spans="1:11" x14ac:dyDescent="0.35">
      <c r="A459" s="10" t="s">
        <v>1735</v>
      </c>
      <c r="B459" s="10" t="s">
        <v>341</v>
      </c>
      <c r="C459" s="10" t="s">
        <v>1736</v>
      </c>
      <c r="D459" s="10" t="s">
        <v>1878</v>
      </c>
      <c r="E459" s="10" t="s">
        <v>2156</v>
      </c>
      <c r="F459" s="10" t="s">
        <v>1878</v>
      </c>
      <c r="G459" s="14">
        <v>44310</v>
      </c>
      <c r="H459">
        <v>2021</v>
      </c>
      <c r="I459" s="10" t="s">
        <v>1878</v>
      </c>
      <c r="J459" s="10" t="s">
        <v>26</v>
      </c>
      <c r="K459" s="15">
        <v>1566.43</v>
      </c>
    </row>
    <row r="460" spans="1:11" x14ac:dyDescent="0.35">
      <c r="A460" s="10" t="s">
        <v>1739</v>
      </c>
      <c r="B460" s="10" t="s">
        <v>597</v>
      </c>
      <c r="C460" s="10" t="s">
        <v>1740</v>
      </c>
      <c r="D460" s="10" t="s">
        <v>1878</v>
      </c>
      <c r="E460" s="10" t="s">
        <v>2157</v>
      </c>
      <c r="F460" s="10" t="s">
        <v>1878</v>
      </c>
      <c r="G460" s="14">
        <v>43549</v>
      </c>
      <c r="H460">
        <v>2019</v>
      </c>
      <c r="I460" s="10" t="s">
        <v>1878</v>
      </c>
      <c r="J460" s="10" t="s">
        <v>28</v>
      </c>
      <c r="K460" s="15">
        <v>2915.69</v>
      </c>
    </row>
    <row r="461" spans="1:11" x14ac:dyDescent="0.35">
      <c r="A461" s="10" t="s">
        <v>1743</v>
      </c>
      <c r="B461" s="10" t="s">
        <v>1424</v>
      </c>
      <c r="C461" s="10" t="s">
        <v>1744</v>
      </c>
      <c r="D461" s="10" t="s">
        <v>1878</v>
      </c>
      <c r="E461" s="10" t="s">
        <v>2158</v>
      </c>
      <c r="F461" s="10" t="s">
        <v>1878</v>
      </c>
      <c r="G461" s="14">
        <v>43888</v>
      </c>
      <c r="H461">
        <v>2020</v>
      </c>
      <c r="I461" s="10" t="s">
        <v>1878</v>
      </c>
      <c r="J461" s="10" t="s">
        <v>22</v>
      </c>
      <c r="K461" s="15">
        <v>-2381</v>
      </c>
    </row>
    <row r="462" spans="1:11" x14ac:dyDescent="0.35">
      <c r="A462" s="10" t="s">
        <v>1747</v>
      </c>
      <c r="B462" s="10" t="s">
        <v>1415</v>
      </c>
      <c r="C462" s="10" t="s">
        <v>1748</v>
      </c>
      <c r="D462" s="10" t="s">
        <v>1878</v>
      </c>
      <c r="E462" s="10" t="s">
        <v>1749</v>
      </c>
      <c r="F462" s="10" t="s">
        <v>1878</v>
      </c>
      <c r="G462" s="17" t="s">
        <v>18</v>
      </c>
      <c r="I462" s="16" t="s">
        <v>18</v>
      </c>
      <c r="J462" s="10" t="s">
        <v>22</v>
      </c>
      <c r="K462" s="15">
        <v>3198.87</v>
      </c>
    </row>
    <row r="463" spans="1:11" x14ac:dyDescent="0.35">
      <c r="A463" s="10" t="s">
        <v>69</v>
      </c>
      <c r="B463" s="10" t="s">
        <v>70</v>
      </c>
      <c r="C463" s="10" t="s">
        <v>71</v>
      </c>
      <c r="D463" s="10" t="s">
        <v>1878</v>
      </c>
      <c r="E463" s="10" t="s">
        <v>72</v>
      </c>
      <c r="F463" s="10" t="s">
        <v>1878</v>
      </c>
      <c r="G463" s="14">
        <v>45007</v>
      </c>
      <c r="H463">
        <v>2023</v>
      </c>
      <c r="I463" s="10" t="s">
        <v>1878</v>
      </c>
      <c r="J463" s="10" t="s">
        <v>20</v>
      </c>
      <c r="K463" s="15">
        <v>3687.78</v>
      </c>
    </row>
    <row r="464" spans="1:11" x14ac:dyDescent="0.35">
      <c r="A464" s="10" t="s">
        <v>1750</v>
      </c>
      <c r="B464" s="10" t="s">
        <v>739</v>
      </c>
      <c r="C464" s="10" t="s">
        <v>1751</v>
      </c>
      <c r="D464" s="10" t="s">
        <v>1878</v>
      </c>
      <c r="E464" s="10" t="s">
        <v>2159</v>
      </c>
      <c r="F464" s="10" t="s">
        <v>1878</v>
      </c>
      <c r="G464" s="14">
        <v>45119</v>
      </c>
      <c r="H464">
        <v>2023</v>
      </c>
      <c r="I464" s="10" t="s">
        <v>1878</v>
      </c>
      <c r="J464" s="10" t="s">
        <v>29</v>
      </c>
      <c r="K464" s="15">
        <v>3076.74</v>
      </c>
    </row>
    <row r="465" spans="1:11" x14ac:dyDescent="0.35">
      <c r="A465" s="10" t="s">
        <v>1754</v>
      </c>
      <c r="B465" s="10" t="s">
        <v>441</v>
      </c>
      <c r="C465" s="10" t="s">
        <v>1755</v>
      </c>
      <c r="D465" s="10" t="s">
        <v>1878</v>
      </c>
      <c r="E465" s="10" t="s">
        <v>18</v>
      </c>
      <c r="F465" s="16" t="s">
        <v>18</v>
      </c>
      <c r="G465" s="14">
        <v>44143</v>
      </c>
      <c r="H465">
        <v>2020</v>
      </c>
      <c r="I465" s="10" t="s">
        <v>1878</v>
      </c>
      <c r="J465" s="10" t="s">
        <v>28</v>
      </c>
      <c r="K465" s="15">
        <v>2034.65</v>
      </c>
    </row>
    <row r="466" spans="1:11" x14ac:dyDescent="0.35">
      <c r="A466" s="10" t="s">
        <v>1757</v>
      </c>
      <c r="B466" s="10" t="s">
        <v>1385</v>
      </c>
      <c r="C466" s="10" t="s">
        <v>1758</v>
      </c>
      <c r="D466" s="10" t="s">
        <v>1878</v>
      </c>
      <c r="E466" s="10" t="s">
        <v>18</v>
      </c>
      <c r="F466" s="16" t="s">
        <v>18</v>
      </c>
      <c r="G466" s="17" t="s">
        <v>18</v>
      </c>
      <c r="I466" s="16" t="s">
        <v>18</v>
      </c>
      <c r="J466" s="10" t="s">
        <v>28</v>
      </c>
      <c r="K466" s="15">
        <v>1171.31</v>
      </c>
    </row>
    <row r="467" spans="1:11" x14ac:dyDescent="0.35">
      <c r="A467" s="10" t="s">
        <v>1759</v>
      </c>
      <c r="B467" s="10" t="s">
        <v>1317</v>
      </c>
      <c r="C467" s="10" t="s">
        <v>1760</v>
      </c>
      <c r="D467" s="10" t="s">
        <v>1878</v>
      </c>
      <c r="E467" s="10" t="s">
        <v>2160</v>
      </c>
      <c r="F467" s="10" t="s">
        <v>1878</v>
      </c>
      <c r="G467" s="14">
        <v>43593</v>
      </c>
      <c r="H467">
        <v>2019</v>
      </c>
      <c r="I467" s="10" t="s">
        <v>1878</v>
      </c>
      <c r="J467" s="10" t="s">
        <v>27</v>
      </c>
      <c r="K467" s="15">
        <v>0</v>
      </c>
    </row>
    <row r="468" spans="1:11" x14ac:dyDescent="0.35">
      <c r="A468" s="10" t="s">
        <v>1762</v>
      </c>
      <c r="B468" s="10" t="s">
        <v>690</v>
      </c>
      <c r="C468" s="10" t="s">
        <v>1763</v>
      </c>
      <c r="D468" s="10" t="s">
        <v>1878</v>
      </c>
      <c r="E468" s="10" t="s">
        <v>1764</v>
      </c>
      <c r="F468" s="10" t="s">
        <v>1878</v>
      </c>
      <c r="G468" s="14">
        <v>44835</v>
      </c>
      <c r="H468">
        <v>2022</v>
      </c>
      <c r="I468" s="10" t="s">
        <v>1878</v>
      </c>
      <c r="J468" s="10" t="s">
        <v>29</v>
      </c>
      <c r="K468" s="15">
        <v>880.95</v>
      </c>
    </row>
    <row r="469" spans="1:11" x14ac:dyDescent="0.35">
      <c r="A469" s="10" t="s">
        <v>1766</v>
      </c>
      <c r="B469" s="10" t="s">
        <v>777</v>
      </c>
      <c r="C469" s="10" t="s">
        <v>1767</v>
      </c>
      <c r="D469" s="10" t="s">
        <v>1878</v>
      </c>
      <c r="E469" s="10" t="s">
        <v>2161</v>
      </c>
      <c r="F469" s="10" t="s">
        <v>1878</v>
      </c>
      <c r="G469" s="14">
        <v>43673</v>
      </c>
      <c r="H469">
        <v>2019</v>
      </c>
      <c r="I469" s="10" t="s">
        <v>1878</v>
      </c>
      <c r="J469" s="10" t="s">
        <v>29</v>
      </c>
      <c r="K469" s="15">
        <v>3816.42</v>
      </c>
    </row>
    <row r="470" spans="1:11" x14ac:dyDescent="0.35">
      <c r="A470" s="10" t="s">
        <v>1770</v>
      </c>
      <c r="B470" s="10" t="s">
        <v>1110</v>
      </c>
      <c r="C470" s="10" t="s">
        <v>1771</v>
      </c>
      <c r="D470" s="10" t="s">
        <v>1878</v>
      </c>
      <c r="E470" s="10" t="s">
        <v>2162</v>
      </c>
      <c r="F470" s="10" t="s">
        <v>1878</v>
      </c>
      <c r="G470" s="14">
        <v>44239</v>
      </c>
      <c r="H470">
        <v>2021</v>
      </c>
      <c r="I470" s="10" t="s">
        <v>1878</v>
      </c>
      <c r="J470" s="10" t="s">
        <v>24</v>
      </c>
      <c r="K470" s="15">
        <v>3658.22</v>
      </c>
    </row>
    <row r="471" spans="1:11" x14ac:dyDescent="0.35">
      <c r="A471" s="10" t="s">
        <v>1774</v>
      </c>
      <c r="B471" s="10" t="s">
        <v>1775</v>
      </c>
      <c r="C471" s="10" t="s">
        <v>1776</v>
      </c>
      <c r="D471" s="10" t="s">
        <v>1878</v>
      </c>
      <c r="E471" s="10" t="s">
        <v>2163</v>
      </c>
      <c r="F471" s="10" t="s">
        <v>1878</v>
      </c>
      <c r="G471" s="17" t="s">
        <v>18</v>
      </c>
      <c r="I471" s="16" t="s">
        <v>18</v>
      </c>
      <c r="J471" s="10" t="s">
        <v>26</v>
      </c>
      <c r="K471" s="15">
        <v>2687.06</v>
      </c>
    </row>
    <row r="472" spans="1:11" x14ac:dyDescent="0.35">
      <c r="A472" s="10" t="s">
        <v>1778</v>
      </c>
      <c r="B472" s="10" t="s">
        <v>63</v>
      </c>
      <c r="C472" s="10" t="s">
        <v>1779</v>
      </c>
      <c r="D472" s="10" t="s">
        <v>1878</v>
      </c>
      <c r="E472" s="10" t="s">
        <v>18</v>
      </c>
      <c r="F472" s="16" t="s">
        <v>18</v>
      </c>
      <c r="G472" s="14">
        <v>44016</v>
      </c>
      <c r="H472">
        <v>2020</v>
      </c>
      <c r="I472" s="10" t="s">
        <v>1878</v>
      </c>
      <c r="J472" s="10" t="s">
        <v>27</v>
      </c>
      <c r="K472" s="15">
        <v>3822.39</v>
      </c>
    </row>
    <row r="473" spans="1:11" x14ac:dyDescent="0.35">
      <c r="A473" s="10" t="s">
        <v>1781</v>
      </c>
      <c r="B473" s="10" t="s">
        <v>1727</v>
      </c>
      <c r="C473" s="10" t="s">
        <v>1782</v>
      </c>
      <c r="D473" s="10" t="s">
        <v>1878</v>
      </c>
      <c r="E473" s="10" t="s">
        <v>18</v>
      </c>
      <c r="F473" s="16" t="s">
        <v>18</v>
      </c>
      <c r="G473" s="14">
        <v>44286</v>
      </c>
      <c r="H473">
        <v>2021</v>
      </c>
      <c r="I473" s="10" t="s">
        <v>1878</v>
      </c>
      <c r="J473" s="10" t="s">
        <v>20</v>
      </c>
      <c r="K473" s="15">
        <v>1931.62</v>
      </c>
    </row>
    <row r="474" spans="1:11" x14ac:dyDescent="0.35">
      <c r="A474" s="10" t="s">
        <v>1784</v>
      </c>
      <c r="B474" s="10" t="s">
        <v>1118</v>
      </c>
      <c r="C474" s="10" t="s">
        <v>1785</v>
      </c>
      <c r="D474" s="10" t="s">
        <v>1878</v>
      </c>
      <c r="E474" s="10" t="s">
        <v>2164</v>
      </c>
      <c r="F474" s="10" t="s">
        <v>1878</v>
      </c>
      <c r="G474" s="17" t="s">
        <v>18</v>
      </c>
      <c r="I474" s="16" t="s">
        <v>18</v>
      </c>
      <c r="J474" s="10" t="s">
        <v>28</v>
      </c>
      <c r="K474" s="15">
        <v>-4651</v>
      </c>
    </row>
    <row r="475" spans="1:11" x14ac:dyDescent="0.35">
      <c r="A475" s="10" t="s">
        <v>1787</v>
      </c>
      <c r="B475" s="10" t="s">
        <v>1114</v>
      </c>
      <c r="C475" s="10" t="s">
        <v>1788</v>
      </c>
      <c r="D475" s="10" t="s">
        <v>1878</v>
      </c>
      <c r="E475" s="10" t="s">
        <v>2165</v>
      </c>
      <c r="F475" s="10" t="s">
        <v>1878</v>
      </c>
      <c r="G475" s="14">
        <v>44492</v>
      </c>
      <c r="H475">
        <v>2021</v>
      </c>
      <c r="I475" s="10" t="s">
        <v>1878</v>
      </c>
      <c r="J475" s="10" t="s">
        <v>22</v>
      </c>
      <c r="K475" s="15">
        <v>969.96</v>
      </c>
    </row>
    <row r="476" spans="1:11" x14ac:dyDescent="0.35">
      <c r="A476" s="10" t="s">
        <v>1791</v>
      </c>
      <c r="B476" s="10" t="s">
        <v>450</v>
      </c>
      <c r="C476" s="10" t="s">
        <v>1792</v>
      </c>
      <c r="D476" s="10" t="s">
        <v>1878</v>
      </c>
      <c r="E476" s="10" t="s">
        <v>2166</v>
      </c>
      <c r="F476" s="10" t="s">
        <v>1878</v>
      </c>
      <c r="G476" s="14">
        <v>44705</v>
      </c>
      <c r="H476">
        <v>2022</v>
      </c>
      <c r="I476" s="10" t="s">
        <v>1878</v>
      </c>
      <c r="J476" s="10" t="s">
        <v>27</v>
      </c>
      <c r="K476" s="15">
        <v>3180.88</v>
      </c>
    </row>
    <row r="477" spans="1:11" x14ac:dyDescent="0.35">
      <c r="A477" s="10" t="s">
        <v>1794</v>
      </c>
      <c r="B477" s="10" t="s">
        <v>1048</v>
      </c>
      <c r="C477" s="10" t="s">
        <v>1795</v>
      </c>
      <c r="D477" s="10" t="s">
        <v>1878</v>
      </c>
      <c r="E477" s="10" t="s">
        <v>2167</v>
      </c>
      <c r="F477" s="10" t="s">
        <v>1878</v>
      </c>
      <c r="G477" s="14">
        <v>44032</v>
      </c>
      <c r="H477">
        <v>2020</v>
      </c>
      <c r="I477" s="10" t="s">
        <v>1878</v>
      </c>
      <c r="J477" s="10" t="s">
        <v>28</v>
      </c>
      <c r="K477" s="15">
        <v>1537.76</v>
      </c>
    </row>
    <row r="478" spans="1:11" x14ac:dyDescent="0.35">
      <c r="A478" s="10" t="s">
        <v>1798</v>
      </c>
      <c r="B478" s="10" t="s">
        <v>903</v>
      </c>
      <c r="C478" s="10" t="s">
        <v>1799</v>
      </c>
      <c r="D478" s="10" t="s">
        <v>1878</v>
      </c>
      <c r="E478" s="10" t="s">
        <v>1800</v>
      </c>
      <c r="F478" s="10" t="s">
        <v>1878</v>
      </c>
      <c r="G478" s="14">
        <v>44647</v>
      </c>
      <c r="H478">
        <v>2022</v>
      </c>
      <c r="I478" s="10" t="s">
        <v>1878</v>
      </c>
      <c r="J478" s="10" t="s">
        <v>29</v>
      </c>
      <c r="K478" s="15">
        <v>1262.6600000000001</v>
      </c>
    </row>
    <row r="479" spans="1:11" x14ac:dyDescent="0.35">
      <c r="A479" s="10" t="s">
        <v>1802</v>
      </c>
      <c r="B479" s="10" t="s">
        <v>1424</v>
      </c>
      <c r="C479" s="10" t="s">
        <v>1803</v>
      </c>
      <c r="D479" s="10" t="s">
        <v>1878</v>
      </c>
      <c r="E479" s="10" t="s">
        <v>18</v>
      </c>
      <c r="F479" s="16" t="s">
        <v>18</v>
      </c>
      <c r="G479" s="14">
        <v>44615</v>
      </c>
      <c r="H479">
        <v>2022</v>
      </c>
      <c r="I479" s="10" t="s">
        <v>1878</v>
      </c>
      <c r="J479" s="10" t="s">
        <v>29</v>
      </c>
      <c r="K479" s="15">
        <v>673.76</v>
      </c>
    </row>
    <row r="480" spans="1:11" x14ac:dyDescent="0.35">
      <c r="A480" s="10" t="s">
        <v>340</v>
      </c>
      <c r="B480" s="10" t="s">
        <v>341</v>
      </c>
      <c r="C480" s="10" t="s">
        <v>342</v>
      </c>
      <c r="D480" s="10" t="s">
        <v>1878</v>
      </c>
      <c r="E480" s="10" t="s">
        <v>1928</v>
      </c>
      <c r="F480" s="10" t="s">
        <v>1878</v>
      </c>
      <c r="G480" s="14">
        <v>45340</v>
      </c>
      <c r="H480">
        <v>2024</v>
      </c>
      <c r="I480" s="10" t="s">
        <v>1878</v>
      </c>
      <c r="J480" s="10" t="s">
        <v>26</v>
      </c>
      <c r="K480" s="15">
        <v>2435.5</v>
      </c>
    </row>
    <row r="481" spans="1:11" x14ac:dyDescent="0.35">
      <c r="A481" s="10" t="s">
        <v>1805</v>
      </c>
      <c r="B481" s="10" t="s">
        <v>1550</v>
      </c>
      <c r="C481" s="10" t="s">
        <v>1806</v>
      </c>
      <c r="D481" s="10" t="s">
        <v>1878</v>
      </c>
      <c r="E481" s="10" t="s">
        <v>2168</v>
      </c>
      <c r="F481" s="10" t="s">
        <v>1878</v>
      </c>
      <c r="G481" s="14">
        <v>43512</v>
      </c>
      <c r="H481">
        <v>2019</v>
      </c>
      <c r="I481" s="10" t="s">
        <v>1878</v>
      </c>
      <c r="J481" s="10" t="s">
        <v>28</v>
      </c>
      <c r="K481" s="15">
        <v>3004.77</v>
      </c>
    </row>
    <row r="482" spans="1:11" x14ac:dyDescent="0.35">
      <c r="A482" s="10" t="s">
        <v>1809</v>
      </c>
      <c r="B482" s="10" t="s">
        <v>872</v>
      </c>
      <c r="C482" s="10" t="s">
        <v>1810</v>
      </c>
      <c r="D482" s="10" t="s">
        <v>1878</v>
      </c>
      <c r="E482" s="10" t="s">
        <v>1811</v>
      </c>
      <c r="F482" s="10" t="s">
        <v>1878</v>
      </c>
      <c r="G482" s="14">
        <v>43799</v>
      </c>
      <c r="H482">
        <v>2019</v>
      </c>
      <c r="I482" s="10" t="s">
        <v>1878</v>
      </c>
      <c r="J482" s="10" t="s">
        <v>22</v>
      </c>
      <c r="K482" s="15">
        <v>1222.93</v>
      </c>
    </row>
    <row r="483" spans="1:11" x14ac:dyDescent="0.35">
      <c r="A483" s="10" t="s">
        <v>1813</v>
      </c>
      <c r="B483" s="10" t="s">
        <v>1110</v>
      </c>
      <c r="C483" s="10" t="s">
        <v>1814</v>
      </c>
      <c r="D483" s="10" t="s">
        <v>1878</v>
      </c>
      <c r="E483" s="10" t="s">
        <v>2169</v>
      </c>
      <c r="F483" s="10" t="s">
        <v>1878</v>
      </c>
      <c r="G483" s="14">
        <v>45008</v>
      </c>
      <c r="H483">
        <v>2023</v>
      </c>
      <c r="I483" s="10" t="s">
        <v>1878</v>
      </c>
      <c r="J483" s="10" t="s">
        <v>26</v>
      </c>
      <c r="K483" s="15">
        <v>2739.84</v>
      </c>
    </row>
    <row r="484" spans="1:11" x14ac:dyDescent="0.35">
      <c r="A484" s="10" t="s">
        <v>1817</v>
      </c>
      <c r="B484" s="10" t="s">
        <v>354</v>
      </c>
      <c r="C484" s="10" t="s">
        <v>1818</v>
      </c>
      <c r="D484" s="10" t="s">
        <v>1878</v>
      </c>
      <c r="E484" s="10" t="s">
        <v>2170</v>
      </c>
      <c r="F484" s="10" t="s">
        <v>1878</v>
      </c>
      <c r="G484" s="17" t="s">
        <v>18</v>
      </c>
      <c r="I484" s="16" t="s">
        <v>18</v>
      </c>
      <c r="J484" s="10" t="s">
        <v>29</v>
      </c>
      <c r="K484" s="15">
        <v>3166.77</v>
      </c>
    </row>
    <row r="485" spans="1:11" x14ac:dyDescent="0.35">
      <c r="A485" s="10" t="s">
        <v>1323</v>
      </c>
      <c r="B485" s="10" t="s">
        <v>450</v>
      </c>
      <c r="C485" s="10" t="s">
        <v>1324</v>
      </c>
      <c r="D485" s="10" t="s">
        <v>1878</v>
      </c>
      <c r="E485" s="10" t="s">
        <v>18</v>
      </c>
      <c r="F485" s="16" t="s">
        <v>18</v>
      </c>
      <c r="G485" s="14">
        <v>43759</v>
      </c>
      <c r="H485">
        <v>2019</v>
      </c>
      <c r="I485" s="10" t="s">
        <v>1878</v>
      </c>
      <c r="J485" s="10" t="s">
        <v>26</v>
      </c>
      <c r="K485" s="15">
        <v>2797.38</v>
      </c>
    </row>
    <row r="486" spans="1:11" x14ac:dyDescent="0.35">
      <c r="A486" s="10" t="s">
        <v>1820</v>
      </c>
      <c r="B486" s="10" t="s">
        <v>239</v>
      </c>
      <c r="C486" s="10" t="s">
        <v>1821</v>
      </c>
      <c r="D486" s="10" t="s">
        <v>1878</v>
      </c>
      <c r="E486" s="10" t="s">
        <v>18</v>
      </c>
      <c r="F486" s="16" t="s">
        <v>18</v>
      </c>
      <c r="G486" s="14">
        <v>44306</v>
      </c>
      <c r="H486">
        <v>2021</v>
      </c>
      <c r="I486" s="10" t="s">
        <v>1878</v>
      </c>
      <c r="J486" s="10" t="s">
        <v>29</v>
      </c>
      <c r="K486" s="15">
        <v>3730.57</v>
      </c>
    </row>
    <row r="487" spans="1:11" x14ac:dyDescent="0.35">
      <c r="A487" s="10" t="s">
        <v>1823</v>
      </c>
      <c r="B487" s="10" t="s">
        <v>1048</v>
      </c>
      <c r="C487" s="10" t="s">
        <v>1824</v>
      </c>
      <c r="D487" s="10" t="s">
        <v>1878</v>
      </c>
      <c r="E487" s="10" t="s">
        <v>18</v>
      </c>
      <c r="F487" s="16" t="s">
        <v>18</v>
      </c>
      <c r="G487" s="14">
        <v>45432</v>
      </c>
      <c r="H487">
        <v>2024</v>
      </c>
      <c r="I487" s="10" t="s">
        <v>1878</v>
      </c>
      <c r="J487" s="10" t="s">
        <v>26</v>
      </c>
      <c r="K487" s="15">
        <v>0</v>
      </c>
    </row>
    <row r="488" spans="1:11" x14ac:dyDescent="0.35">
      <c r="A488" s="10" t="s">
        <v>1826</v>
      </c>
      <c r="B488" s="10" t="s">
        <v>863</v>
      </c>
      <c r="C488" s="10" t="s">
        <v>1827</v>
      </c>
      <c r="D488" s="10" t="s">
        <v>1878</v>
      </c>
      <c r="E488" s="10" t="s">
        <v>2171</v>
      </c>
      <c r="F488" s="10" t="s">
        <v>1878</v>
      </c>
      <c r="G488" s="17" t="s">
        <v>18</v>
      </c>
      <c r="I488" s="16" t="s">
        <v>18</v>
      </c>
      <c r="J488" s="10" t="s">
        <v>26</v>
      </c>
      <c r="K488" s="15">
        <v>3616.38</v>
      </c>
    </row>
    <row r="489" spans="1:11" x14ac:dyDescent="0.35">
      <c r="A489" s="10" t="s">
        <v>1829</v>
      </c>
      <c r="B489" s="10" t="s">
        <v>677</v>
      </c>
      <c r="C489" s="10" t="s">
        <v>1830</v>
      </c>
      <c r="D489" s="10" t="s">
        <v>1878</v>
      </c>
      <c r="E489" s="10" t="s">
        <v>18</v>
      </c>
      <c r="F489" s="16" t="s">
        <v>18</v>
      </c>
      <c r="G489" s="14">
        <v>44205</v>
      </c>
      <c r="H489">
        <v>2021</v>
      </c>
      <c r="I489" s="10" t="s">
        <v>1878</v>
      </c>
      <c r="J489" s="10" t="s">
        <v>26</v>
      </c>
      <c r="K489" s="15">
        <v>1266.3900000000001</v>
      </c>
    </row>
    <row r="490" spans="1:11" x14ac:dyDescent="0.35">
      <c r="A490" s="10" t="s">
        <v>1832</v>
      </c>
      <c r="B490" s="10" t="s">
        <v>121</v>
      </c>
      <c r="C490" s="10" t="s">
        <v>1833</v>
      </c>
      <c r="D490" s="10" t="s">
        <v>1878</v>
      </c>
      <c r="E490" s="10" t="s">
        <v>2172</v>
      </c>
      <c r="F490" s="10" t="s">
        <v>1878</v>
      </c>
      <c r="G490" s="14">
        <v>44847</v>
      </c>
      <c r="H490">
        <v>2022</v>
      </c>
      <c r="I490" s="10" t="s">
        <v>1878</v>
      </c>
      <c r="J490" s="10" t="s">
        <v>24</v>
      </c>
      <c r="K490" s="15">
        <v>1185.3800000000001</v>
      </c>
    </row>
    <row r="491" spans="1:11" x14ac:dyDescent="0.35">
      <c r="A491" s="10" t="s">
        <v>1836</v>
      </c>
      <c r="B491" s="10" t="s">
        <v>989</v>
      </c>
      <c r="C491" s="10" t="s">
        <v>1837</v>
      </c>
      <c r="D491" s="10" t="s">
        <v>1878</v>
      </c>
      <c r="E491" s="10" t="s">
        <v>2173</v>
      </c>
      <c r="F491" s="10" t="s">
        <v>1878</v>
      </c>
      <c r="G491" s="14">
        <v>45233</v>
      </c>
      <c r="H491">
        <v>2023</v>
      </c>
      <c r="I491" s="10" t="s">
        <v>1878</v>
      </c>
      <c r="J491" s="10" t="s">
        <v>22</v>
      </c>
      <c r="K491" s="15">
        <v>2604.79</v>
      </c>
    </row>
    <row r="492" spans="1:11" x14ac:dyDescent="0.35">
      <c r="A492" s="10" t="s">
        <v>1840</v>
      </c>
      <c r="B492" s="10" t="s">
        <v>199</v>
      </c>
      <c r="C492" s="10" t="s">
        <v>1841</v>
      </c>
      <c r="D492" s="10" t="s">
        <v>1878</v>
      </c>
      <c r="E492" s="10" t="s">
        <v>18</v>
      </c>
      <c r="F492" s="16" t="s">
        <v>18</v>
      </c>
      <c r="G492" s="17" t="s">
        <v>18</v>
      </c>
      <c r="I492" s="16" t="s">
        <v>18</v>
      </c>
      <c r="J492" s="10" t="s">
        <v>27</v>
      </c>
      <c r="K492" s="15">
        <v>2263</v>
      </c>
    </row>
    <row r="493" spans="1:11" x14ac:dyDescent="0.35">
      <c r="A493" s="10" t="s">
        <v>1842</v>
      </c>
      <c r="B493" s="10" t="s">
        <v>1180</v>
      </c>
      <c r="C493" s="10" t="s">
        <v>2174</v>
      </c>
      <c r="D493" s="10" t="s">
        <v>1878</v>
      </c>
      <c r="E493" s="10" t="s">
        <v>2175</v>
      </c>
      <c r="F493" s="10" t="s">
        <v>1878</v>
      </c>
      <c r="G493" s="17" t="s">
        <v>18</v>
      </c>
      <c r="I493" s="16" t="s">
        <v>18</v>
      </c>
      <c r="J493" s="10" t="s">
        <v>26</v>
      </c>
      <c r="K493" s="15">
        <v>0</v>
      </c>
    </row>
    <row r="494" spans="1:11" x14ac:dyDescent="0.35">
      <c r="A494" s="10" t="s">
        <v>1845</v>
      </c>
      <c r="B494" s="10" t="s">
        <v>624</v>
      </c>
      <c r="C494" s="10" t="s">
        <v>18</v>
      </c>
      <c r="D494" s="16" t="s">
        <v>18</v>
      </c>
      <c r="E494" s="10" t="s">
        <v>2176</v>
      </c>
      <c r="F494" s="10" t="s">
        <v>1878</v>
      </c>
      <c r="G494" s="17" t="s">
        <v>18</v>
      </c>
      <c r="I494" s="16" t="s">
        <v>18</v>
      </c>
      <c r="J494" s="10" t="s">
        <v>29</v>
      </c>
      <c r="K494" s="15">
        <v>4570.58</v>
      </c>
    </row>
    <row r="495" spans="1:11" x14ac:dyDescent="0.35">
      <c r="A495" s="10" t="s">
        <v>1847</v>
      </c>
      <c r="B495" s="10" t="s">
        <v>620</v>
      </c>
      <c r="C495" s="10" t="s">
        <v>1848</v>
      </c>
      <c r="D495" s="10" t="s">
        <v>1878</v>
      </c>
      <c r="E495" s="10" t="s">
        <v>18</v>
      </c>
      <c r="F495" s="16" t="s">
        <v>18</v>
      </c>
      <c r="G495" s="14">
        <v>44212</v>
      </c>
      <c r="H495">
        <v>2021</v>
      </c>
      <c r="I495" s="10" t="s">
        <v>1878</v>
      </c>
      <c r="J495" s="10" t="s">
        <v>28</v>
      </c>
      <c r="K495" s="15">
        <v>1796</v>
      </c>
    </row>
    <row r="496" spans="1:11" x14ac:dyDescent="0.35">
      <c r="A496" s="10" t="s">
        <v>1850</v>
      </c>
      <c r="B496" s="10" t="s">
        <v>1851</v>
      </c>
      <c r="C496" s="10" t="s">
        <v>1852</v>
      </c>
      <c r="D496" s="10" t="s">
        <v>1878</v>
      </c>
      <c r="E496" s="10" t="s">
        <v>2177</v>
      </c>
      <c r="F496" s="10" t="s">
        <v>1878</v>
      </c>
      <c r="G496" s="14">
        <v>44868</v>
      </c>
      <c r="H496">
        <v>2022</v>
      </c>
      <c r="I496" s="10" t="s">
        <v>1878</v>
      </c>
      <c r="J496" s="10" t="s">
        <v>26</v>
      </c>
      <c r="K496" s="15">
        <v>327.44</v>
      </c>
    </row>
    <row r="497" spans="1:11" x14ac:dyDescent="0.35">
      <c r="A497" s="10" t="s">
        <v>1855</v>
      </c>
      <c r="B497" s="10" t="s">
        <v>204</v>
      </c>
      <c r="C497" s="10" t="s">
        <v>1856</v>
      </c>
      <c r="D497" s="10" t="s">
        <v>1878</v>
      </c>
      <c r="E497" s="10" t="s">
        <v>1857</v>
      </c>
      <c r="F497" s="10" t="s">
        <v>1878</v>
      </c>
      <c r="G497" s="14">
        <v>44620</v>
      </c>
      <c r="H497">
        <v>2022</v>
      </c>
      <c r="I497" s="10" t="s">
        <v>1878</v>
      </c>
      <c r="J497" s="10" t="s">
        <v>22</v>
      </c>
      <c r="K497" s="15">
        <v>124.91</v>
      </c>
    </row>
    <row r="498" spans="1:11" x14ac:dyDescent="0.35">
      <c r="A498" s="10" t="s">
        <v>1859</v>
      </c>
      <c r="B498" s="10" t="s">
        <v>275</v>
      </c>
      <c r="C498" s="10" t="s">
        <v>1860</v>
      </c>
      <c r="D498" s="10" t="s">
        <v>1878</v>
      </c>
      <c r="E498" s="10" t="s">
        <v>2178</v>
      </c>
      <c r="F498" s="10" t="s">
        <v>1878</v>
      </c>
      <c r="G498" s="14">
        <v>43681</v>
      </c>
      <c r="H498">
        <v>2019</v>
      </c>
      <c r="I498" s="10" t="s">
        <v>1878</v>
      </c>
      <c r="J498" s="10" t="s">
        <v>22</v>
      </c>
      <c r="K498" s="15">
        <v>4269.83</v>
      </c>
    </row>
    <row r="499" spans="1:11" x14ac:dyDescent="0.35">
      <c r="A499" s="10" t="s">
        <v>1863</v>
      </c>
      <c r="B499" s="10" t="s">
        <v>461</v>
      </c>
      <c r="C499" s="10" t="s">
        <v>1864</v>
      </c>
      <c r="D499" s="10" t="s">
        <v>1878</v>
      </c>
      <c r="E499" s="10" t="s">
        <v>2179</v>
      </c>
      <c r="F499" s="10" t="s">
        <v>1878</v>
      </c>
      <c r="G499" s="14">
        <v>45101</v>
      </c>
      <c r="H499">
        <v>2023</v>
      </c>
      <c r="I499" s="10" t="s">
        <v>1878</v>
      </c>
      <c r="J499" s="10" t="s">
        <v>26</v>
      </c>
      <c r="K499" s="15">
        <v>2539.91</v>
      </c>
    </row>
    <row r="500" spans="1:11" x14ac:dyDescent="0.35">
      <c r="A500" s="10" t="s">
        <v>1867</v>
      </c>
      <c r="B500" s="10" t="s">
        <v>516</v>
      </c>
      <c r="C500" s="10" t="s">
        <v>1868</v>
      </c>
      <c r="D500" s="10" t="s">
        <v>1878</v>
      </c>
      <c r="E500" s="10" t="s">
        <v>2180</v>
      </c>
      <c r="F500" s="10" t="s">
        <v>1878</v>
      </c>
      <c r="G500" s="14">
        <v>44883</v>
      </c>
      <c r="H500">
        <v>2022</v>
      </c>
      <c r="I500" s="10" t="s">
        <v>1878</v>
      </c>
      <c r="J500" s="10" t="s">
        <v>27</v>
      </c>
      <c r="K500" s="15">
        <v>3582.59</v>
      </c>
    </row>
    <row r="501" spans="1:11" x14ac:dyDescent="0.35">
      <c r="A501" s="10" t="s">
        <v>1871</v>
      </c>
      <c r="B501" s="10" t="s">
        <v>191</v>
      </c>
      <c r="C501" s="10" t="s">
        <v>1872</v>
      </c>
      <c r="D501" s="10" t="s">
        <v>1878</v>
      </c>
      <c r="E501" s="10" t="s">
        <v>2181</v>
      </c>
      <c r="F501" s="10" t="s">
        <v>1878</v>
      </c>
      <c r="G501" s="17" t="s">
        <v>18</v>
      </c>
      <c r="I501" s="16" t="s">
        <v>18</v>
      </c>
      <c r="J501" s="10" t="s">
        <v>28</v>
      </c>
      <c r="K501" s="15">
        <v>398</v>
      </c>
    </row>
    <row r="503" spans="1:11" x14ac:dyDescent="0.35">
      <c r="A503" s="2" t="s">
        <v>2182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Raw Data</vt:lpstr>
      <vt:lpstr>Clean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Faizan Banday</cp:lastModifiedBy>
  <cp:revision>1</cp:revision>
  <dcterms:created xsi:type="dcterms:W3CDTF">2026-09-22T06:54:15Z</dcterms:created>
  <dcterms:modified xsi:type="dcterms:W3CDTF">2026-09-22T07:23:39Z</dcterms:modified>
  <dc:language>en-US</dc:language>
</cp:coreProperties>
</file>