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771c0a28ee1053e/Desktop/"/>
    </mc:Choice>
  </mc:AlternateContent>
  <xr:revisionPtr revIDLastSave="0" documentId="8_{E9FB6329-739D-4CA9-8D84-834A9AA2835E}" xr6:coauthVersionLast="41" xr6:coauthVersionMax="41" xr10:uidLastSave="{00000000-0000-0000-0000-000000000000}"/>
  <bookViews>
    <workbookView xWindow="-110" yWindow="-110" windowWidth="19420" windowHeight="10420" tabRatio="500" xr2:uid="{00000000-000D-0000-FFFF-FFFF00000000}"/>
  </bookViews>
  <sheets>
    <sheet name="Dashboard" sheetId="10" r:id="rId1"/>
    <sheet name="Control_Panel" sheetId="1" r:id="rId2"/>
    <sheet name="Sales_Data" sheetId="2" r:id="rId3"/>
    <sheet name="Summary" sheetId="3" r:id="rId4"/>
    <sheet name="Dash_Data" sheetId="11" r:id="rId5"/>
  </sheets>
  <calcPr calcId="19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N6" i="10" l="1"/>
  <c r="J6" i="10"/>
  <c r="F6" i="10"/>
  <c r="B6" i="10"/>
  <c r="Y21" i="11"/>
  <c r="Y20" i="11"/>
  <c r="Y19" i="11"/>
  <c r="Y18" i="11"/>
  <c r="Y17" i="11"/>
  <c r="Y16" i="11"/>
  <c r="Y15" i="11"/>
  <c r="Y14" i="11"/>
  <c r="Y13" i="11"/>
  <c r="Y12" i="11"/>
  <c r="Y11" i="11"/>
  <c r="Y10" i="11"/>
  <c r="Y9" i="11"/>
  <c r="Y8" i="11"/>
  <c r="Y7" i="11"/>
  <c r="Y6" i="11"/>
  <c r="Y5" i="11"/>
  <c r="Y4" i="11"/>
  <c r="Y3" i="11"/>
  <c r="Y2" i="11"/>
  <c r="V5" i="11"/>
  <c r="U5" i="11"/>
  <c r="T5" i="11"/>
  <c r="S5" i="11"/>
  <c r="R5" i="11"/>
  <c r="V4" i="11"/>
  <c r="U4" i="11"/>
  <c r="T4" i="11"/>
  <c r="S4" i="11"/>
  <c r="R4" i="11"/>
  <c r="V3" i="11"/>
  <c r="U3" i="11"/>
  <c r="T3" i="11"/>
  <c r="S3" i="11"/>
  <c r="R3" i="11"/>
  <c r="V2" i="11"/>
  <c r="U2" i="11"/>
  <c r="T2" i="11"/>
  <c r="S2" i="11"/>
  <c r="R2" i="11"/>
  <c r="N13" i="11"/>
  <c r="M13" i="11"/>
  <c r="O13" i="11"/>
  <c r="N12" i="11"/>
  <c r="M12" i="11"/>
  <c r="O12" i="11"/>
  <c r="N11" i="11"/>
  <c r="M11" i="11"/>
  <c r="O11" i="11"/>
  <c r="N10" i="11"/>
  <c r="M10" i="11"/>
  <c r="O10" i="11"/>
  <c r="N9" i="11"/>
  <c r="M9" i="11"/>
  <c r="O9" i="11"/>
  <c r="N8" i="11"/>
  <c r="M8" i="11"/>
  <c r="O8" i="11"/>
  <c r="N7" i="11"/>
  <c r="M7" i="11"/>
  <c r="O7" i="11"/>
  <c r="N6" i="11"/>
  <c r="M6" i="11"/>
  <c r="O6" i="11"/>
  <c r="N5" i="11"/>
  <c r="M5" i="11"/>
  <c r="O5" i="11"/>
  <c r="N4" i="11"/>
  <c r="M4" i="11"/>
  <c r="O4" i="11"/>
  <c r="N3" i="11"/>
  <c r="M3" i="11"/>
  <c r="O3" i="11"/>
  <c r="N2" i="11"/>
  <c r="M2" i="11"/>
  <c r="O2" i="11"/>
  <c r="K6" i="11"/>
  <c r="K5" i="11"/>
  <c r="K4" i="11"/>
  <c r="K3" i="11"/>
  <c r="K2" i="11"/>
  <c r="H4" i="11"/>
  <c r="H3" i="11"/>
  <c r="H2" i="11"/>
  <c r="E4" i="11"/>
  <c r="E3" i="11"/>
  <c r="E2" i="11"/>
  <c r="B5" i="11"/>
  <c r="B4" i="11"/>
  <c r="B3" i="11"/>
  <c r="B2" i="11"/>
  <c r="C17" i="3"/>
  <c r="C16" i="3"/>
  <c r="C15" i="3"/>
  <c r="C14" i="3"/>
  <c r="C18" i="3" s="1"/>
  <c r="C13" i="3"/>
  <c r="C8" i="3"/>
  <c r="C7" i="3"/>
  <c r="C6" i="3"/>
  <c r="C5" i="3"/>
  <c r="C9" i="3" s="1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B16" i="3" s="1"/>
  <c r="I41" i="2"/>
  <c r="I40" i="2"/>
  <c r="I39" i="2"/>
  <c r="I38" i="2"/>
  <c r="I37" i="2"/>
  <c r="I36" i="2"/>
  <c r="I35" i="2"/>
  <c r="I34" i="2"/>
  <c r="I33" i="2"/>
  <c r="I32" i="2"/>
  <c r="B6" i="3" s="1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B17" i="3" s="1"/>
  <c r="I17" i="2"/>
  <c r="I16" i="2"/>
  <c r="I15" i="2"/>
  <c r="I14" i="2"/>
  <c r="I13" i="2"/>
  <c r="I12" i="2"/>
  <c r="I11" i="2"/>
  <c r="I10" i="2"/>
  <c r="B5" i="3" s="1"/>
  <c r="I9" i="2"/>
  <c r="I8" i="2"/>
  <c r="I7" i="2"/>
  <c r="B15" i="3" s="1"/>
  <c r="I6" i="2"/>
  <c r="B14" i="3" s="1"/>
  <c r="I5" i="2"/>
  <c r="I4" i="2"/>
  <c r="I3" i="2"/>
  <c r="B8" i="3" s="1"/>
  <c r="I2" i="2"/>
  <c r="B13" i="3" s="1"/>
  <c r="B18" i="3" s="1"/>
  <c r="C6" i="1"/>
  <c r="B7" i="3" l="1"/>
  <c r="B9" i="3" s="1"/>
  <c r="C5" i="1"/>
  <c r="C7" i="1" l="1"/>
</calcChain>
</file>

<file path=xl/sharedStrings.xml><?xml version="1.0" encoding="utf-8"?>
<sst xmlns="http://schemas.openxmlformats.org/spreadsheetml/2006/main" count="1633" uniqueCount="347">
  <si>
    <t>Sales Automation Control Panel</t>
  </si>
  <si>
    <t>Last full run</t>
  </si>
  <si>
    <t>Total sales (INR)</t>
  </si>
  <si>
    <t>Orders in data</t>
  </si>
  <si>
    <t>Sales not matched to a Region (run CleanData)</t>
  </si>
  <si>
    <t>Buttons to create (Developer &gt; Insert &gt; Button) and the macro each one runs</t>
  </si>
  <si>
    <t>Button label</t>
  </si>
  <si>
    <t>Macro to assign</t>
  </si>
  <si>
    <t>What it does</t>
  </si>
  <si>
    <t>1. Clean Data</t>
  </si>
  <si>
    <t>CleanData</t>
  </si>
  <si>
    <t>Trims spaces, fixes case, removes duplicate Order IDs</t>
  </si>
  <si>
    <t>2. Split by Region</t>
  </si>
  <si>
    <t>SplitByRegion</t>
  </si>
  <si>
    <t>Creates one sheet per region with its own rows</t>
  </si>
  <si>
    <t>3. Build Chart</t>
  </si>
  <si>
    <t>BuildSummaryChart</t>
  </si>
  <si>
    <t>Draws Sales-by-Region chart on Summary</t>
  </si>
  <si>
    <t>4. Export PDFs</t>
  </si>
  <si>
    <t>ExportRegionPDFs</t>
  </si>
  <si>
    <t>Saves each Region sheet as a PDF next to this file</t>
  </si>
  <si>
    <t>5. Add Record</t>
  </si>
  <si>
    <t>AddNewRecord</t>
  </si>
  <si>
    <t>Pop-up entry: adds a new order row with next Order ID</t>
  </si>
  <si>
    <t>6. RUN ALL</t>
  </si>
  <si>
    <t>RunAll</t>
  </si>
  <si>
    <t>Clean + Split + Chart in one click</t>
  </si>
  <si>
    <t>7. Reset</t>
  </si>
  <si>
    <t>ResetRegionSheets</t>
  </si>
  <si>
    <t>Deletes all Region_ sheets</t>
  </si>
  <si>
    <t>Legend: yellow cell C4 is filled by the macro (RunAll). Everything else is formula-driven. Sales_Data rows contain deliberate mess (extra spaces, lower-case regions, 8 duplicate orders) so you can watch CleanData fix it.</t>
  </si>
  <si>
    <t>Order ID</t>
  </si>
  <si>
    <t>Date</t>
  </si>
  <si>
    <t>Region</t>
  </si>
  <si>
    <t>Salesperson</t>
  </si>
  <si>
    <t>Product</t>
  </si>
  <si>
    <t>Category</t>
  </si>
  <si>
    <t>Qty</t>
  </si>
  <si>
    <t>Unit Price (INR)</t>
  </si>
  <si>
    <t>Sales (INR)</t>
  </si>
  <si>
    <t>Status</t>
  </si>
  <si>
    <t>ORD-1001</t>
  </si>
  <si>
    <t>East</t>
  </si>
  <si>
    <t>Sana</t>
  </si>
  <si>
    <t>Laptop</t>
  </si>
  <si>
    <t>Computers</t>
  </si>
  <si>
    <t>Delivered</t>
  </si>
  <si>
    <t>ORD-1002</t>
  </si>
  <si>
    <t>West</t>
  </si>
  <si>
    <t>Aamir</t>
  </si>
  <si>
    <t>ORD-1003</t>
  </si>
  <si>
    <t>North</t>
  </si>
  <si>
    <t>Irfan</t>
  </si>
  <si>
    <t>Phone</t>
  </si>
  <si>
    <t>Mobiles</t>
  </si>
  <si>
    <t>Pending</t>
  </si>
  <si>
    <t>ORD-1004</t>
  </si>
  <si>
    <t>Headphones</t>
  </si>
  <si>
    <t>Accessories</t>
  </si>
  <si>
    <t>ORD-1005</t>
  </si>
  <si>
    <t>Bilal</t>
  </si>
  <si>
    <t>ORD-1006</t>
  </si>
  <si>
    <t>Zoya</t>
  </si>
  <si>
    <t>Tablet</t>
  </si>
  <si>
    <t>ORD-1007</t>
  </si>
  <si>
    <t>ORD-1008</t>
  </si>
  <si>
    <t>Returned</t>
  </si>
  <si>
    <t>ORD-1009</t>
  </si>
  <si>
    <t>ORD-1010</t>
  </si>
  <si>
    <t xml:space="preserve">West </t>
  </si>
  <si>
    <t>ORD-1011</t>
  </si>
  <si>
    <t>ORD-1012</t>
  </si>
  <si>
    <t>South</t>
  </si>
  <si>
    <t>Monitor</t>
  </si>
  <si>
    <t>ORD-1013</t>
  </si>
  <si>
    <t>ORD-1014</t>
  </si>
  <si>
    <t>ORD-1015</t>
  </si>
  <si>
    <t>ORD-1016</t>
  </si>
  <si>
    <t>ORD-1017</t>
  </si>
  <si>
    <t>ORD-1018</t>
  </si>
  <si>
    <t>ORD-1019</t>
  </si>
  <si>
    <t xml:space="preserve">North </t>
  </si>
  <si>
    <t>ORD-1020</t>
  </si>
  <si>
    <t xml:space="preserve">East </t>
  </si>
  <si>
    <t>ORD-1021</t>
  </si>
  <si>
    <t>ORD-1022</t>
  </si>
  <si>
    <t>ORD-1023</t>
  </si>
  <si>
    <t>ORD-1024</t>
  </si>
  <si>
    <t>south</t>
  </si>
  <si>
    <t>ORD-1025</t>
  </si>
  <si>
    <t>ORD-1026</t>
  </si>
  <si>
    <t>ORD-1027</t>
  </si>
  <si>
    <t>ORD-1028</t>
  </si>
  <si>
    <t>ORD-1029</t>
  </si>
  <si>
    <t>ORD-1030</t>
  </si>
  <si>
    <t>ORD-1031</t>
  </si>
  <si>
    <t>ORD-1032</t>
  </si>
  <si>
    <t>ORD-1033</t>
  </si>
  <si>
    <t>ORD-1034</t>
  </si>
  <si>
    <t>ORD-1035</t>
  </si>
  <si>
    <t>ORD-1036</t>
  </si>
  <si>
    <t>ORD-1037</t>
  </si>
  <si>
    <t>ORD-1038</t>
  </si>
  <si>
    <t>ORD-1039</t>
  </si>
  <si>
    <t>ORD-1040</t>
  </si>
  <si>
    <t>ORD-1041</t>
  </si>
  <si>
    <t>ORD-1042</t>
  </si>
  <si>
    <t>ORD-1043</t>
  </si>
  <si>
    <t>ORD-1044</t>
  </si>
  <si>
    <t>ORD-1045</t>
  </si>
  <si>
    <t>ORD-1046</t>
  </si>
  <si>
    <t>ORD-1047</t>
  </si>
  <si>
    <t>ORD-1048</t>
  </si>
  <si>
    <t>ORD-1049</t>
  </si>
  <si>
    <t>ORD-1050</t>
  </si>
  <si>
    <t>ORD-1051</t>
  </si>
  <si>
    <t>ORD-1052</t>
  </si>
  <si>
    <t>ORD-1053</t>
  </si>
  <si>
    <t>ORD-1054</t>
  </si>
  <si>
    <t>ORD-1055</t>
  </si>
  <si>
    <t>ORD-1056</t>
  </si>
  <si>
    <t>ORD-1057</t>
  </si>
  <si>
    <t>ORD-1058</t>
  </si>
  <si>
    <t>ORD-1059</t>
  </si>
  <si>
    <t>ORD-1060</t>
  </si>
  <si>
    <t>ORD-1061</t>
  </si>
  <si>
    <t>ORD-1062</t>
  </si>
  <si>
    <t>ORD-1063</t>
  </si>
  <si>
    <t>ORD-1064</t>
  </si>
  <si>
    <t>ORD-1065</t>
  </si>
  <si>
    <t>ORD-1066</t>
  </si>
  <si>
    <t>ORD-1067</t>
  </si>
  <si>
    <t>ORD-1068</t>
  </si>
  <si>
    <t>ORD-1069</t>
  </si>
  <si>
    <t>ORD-1070</t>
  </si>
  <si>
    <t>ORD-1071</t>
  </si>
  <si>
    <t>ORD-1072</t>
  </si>
  <si>
    <t>ORD-1073</t>
  </si>
  <si>
    <t>ORD-1074</t>
  </si>
  <si>
    <t>ORD-1075</t>
  </si>
  <si>
    <t>ORD-1076</t>
  </si>
  <si>
    <t>ORD-1077</t>
  </si>
  <si>
    <t>ORD-1078</t>
  </si>
  <si>
    <t>ORD-1079</t>
  </si>
  <si>
    <t>ORD-1080</t>
  </si>
  <si>
    <t>ORD-1081</t>
  </si>
  <si>
    <t>ORD-1082</t>
  </si>
  <si>
    <t>ORD-1083</t>
  </si>
  <si>
    <t>ORD-1084</t>
  </si>
  <si>
    <t>ORD-1085</t>
  </si>
  <si>
    <t>ORD-1086</t>
  </si>
  <si>
    <t>ORD-1087</t>
  </si>
  <si>
    <t>ORD-1088</t>
  </si>
  <si>
    <t>ORD-1089</t>
  </si>
  <si>
    <t>ORD-1090</t>
  </si>
  <si>
    <t>ORD-1091</t>
  </si>
  <si>
    <t>ORD-1092</t>
  </si>
  <si>
    <t>ORD-1093</t>
  </si>
  <si>
    <t>ORD-1094</t>
  </si>
  <si>
    <t>ORD-1095</t>
  </si>
  <si>
    <t>ORD-1096</t>
  </si>
  <si>
    <t>ORD-1097</t>
  </si>
  <si>
    <t>ORD-1098</t>
  </si>
  <si>
    <t>ORD-1099</t>
  </si>
  <si>
    <t>east</t>
  </si>
  <si>
    <t>ORD-1100</t>
  </si>
  <si>
    <t>ORD-1101</t>
  </si>
  <si>
    <t>ORD-1102</t>
  </si>
  <si>
    <t>ORD-1103</t>
  </si>
  <si>
    <t>ORD-1104</t>
  </si>
  <si>
    <t>ORD-1105</t>
  </si>
  <si>
    <t>ORD-1106</t>
  </si>
  <si>
    <t>ORD-1107</t>
  </si>
  <si>
    <t>ORD-1108</t>
  </si>
  <si>
    <t>ORD-1109</t>
  </si>
  <si>
    <t>ORD-1110</t>
  </si>
  <si>
    <t>ORD-1111</t>
  </si>
  <si>
    <t>ORD-1112</t>
  </si>
  <si>
    <t>ORD-1113</t>
  </si>
  <si>
    <t>ORD-1114</t>
  </si>
  <si>
    <t>ORD-1115</t>
  </si>
  <si>
    <t>ORD-1116</t>
  </si>
  <si>
    <t>ORD-1117</t>
  </si>
  <si>
    <t>ORD-1118</t>
  </si>
  <si>
    <t>ORD-1119</t>
  </si>
  <si>
    <t>IRFAN</t>
  </si>
  <si>
    <t>ORD-1120</t>
  </si>
  <si>
    <t>ORD-1121</t>
  </si>
  <si>
    <t>ORD-1122</t>
  </si>
  <si>
    <t>ORD-1123</t>
  </si>
  <si>
    <t>ORD-1124</t>
  </si>
  <si>
    <t>ORD-1125</t>
  </si>
  <si>
    <t>ORD-1126</t>
  </si>
  <si>
    <t>ORD-1127</t>
  </si>
  <si>
    <t>ORD-1128</t>
  </si>
  <si>
    <t>ORD-1129</t>
  </si>
  <si>
    <t>ORD-1130</t>
  </si>
  <si>
    <t xml:space="preserve">west </t>
  </si>
  <si>
    <t>ORD-1131</t>
  </si>
  <si>
    <t>ORD-1132</t>
  </si>
  <si>
    <t>ORD-1133</t>
  </si>
  <si>
    <t>ORD-1134</t>
  </si>
  <si>
    <t>ORD-1135</t>
  </si>
  <si>
    <t>ORD-1136</t>
  </si>
  <si>
    <t>ORD-1137</t>
  </si>
  <si>
    <t>ORD-1138</t>
  </si>
  <si>
    <t>ORD-1139</t>
  </si>
  <si>
    <t>ORD-1140</t>
  </si>
  <si>
    <t>ORD-1141</t>
  </si>
  <si>
    <t>ORD-1142</t>
  </si>
  <si>
    <t>SANA</t>
  </si>
  <si>
    <t>ORD-1143</t>
  </si>
  <si>
    <t>ORD-1144</t>
  </si>
  <si>
    <t>ORD-1145</t>
  </si>
  <si>
    <t>ORD-1146</t>
  </si>
  <si>
    <t>ORD-1147</t>
  </si>
  <si>
    <t>ORD-1148</t>
  </si>
  <si>
    <t>ORD-1149</t>
  </si>
  <si>
    <t>AAMIR</t>
  </si>
  <si>
    <t>ORD-1150</t>
  </si>
  <si>
    <t>ORD-1151</t>
  </si>
  <si>
    <t>ORD-1152</t>
  </si>
  <si>
    <t>ORD-1153</t>
  </si>
  <si>
    <t>west</t>
  </si>
  <si>
    <t>ORD-1154</t>
  </si>
  <si>
    <t>ORD-1155</t>
  </si>
  <si>
    <t>ORD-1156</t>
  </si>
  <si>
    <t>ORD-1157</t>
  </si>
  <si>
    <t>ORD-1158</t>
  </si>
  <si>
    <t>ORD-1159</t>
  </si>
  <si>
    <t>ORD-1160</t>
  </si>
  <si>
    <t>ORD-1161</t>
  </si>
  <si>
    <t>ORD-1162</t>
  </si>
  <si>
    <t>ORD-1163</t>
  </si>
  <si>
    <t>ORD-1164</t>
  </si>
  <si>
    <t>ORD-1165</t>
  </si>
  <si>
    <t>ORD-1166</t>
  </si>
  <si>
    <t>ORD-1167</t>
  </si>
  <si>
    <t>ORD-1168</t>
  </si>
  <si>
    <t>ORD-1169</t>
  </si>
  <si>
    <t>ORD-1170</t>
  </si>
  <si>
    <t>ORD-1171</t>
  </si>
  <si>
    <t>ORD-1172</t>
  </si>
  <si>
    <t>ORD-1173</t>
  </si>
  <si>
    <t>ORD-1174</t>
  </si>
  <si>
    <t>ORD-1175</t>
  </si>
  <si>
    <t>ORD-1176</t>
  </si>
  <si>
    <t>ORD-1177</t>
  </si>
  <si>
    <t>ORD-1178</t>
  </si>
  <si>
    <t>ORD-1179</t>
  </si>
  <si>
    <t>ORD-1180</t>
  </si>
  <si>
    <t>ORD-1181</t>
  </si>
  <si>
    <t>ORD-1182</t>
  </si>
  <si>
    <t>ORD-1183</t>
  </si>
  <si>
    <t>ORD-1184</t>
  </si>
  <si>
    <t>ORD-1185</t>
  </si>
  <si>
    <t>ORD-1186</t>
  </si>
  <si>
    <t>ORD-1187</t>
  </si>
  <si>
    <t>ORD-1188</t>
  </si>
  <si>
    <t>ORD-1189</t>
  </si>
  <si>
    <t>ORD-1190</t>
  </si>
  <si>
    <t>ORD-1191</t>
  </si>
  <si>
    <t>ORD-1192</t>
  </si>
  <si>
    <t>ORD-1193</t>
  </si>
  <si>
    <t>ORD-1194</t>
  </si>
  <si>
    <t>ORD-1195</t>
  </si>
  <si>
    <t>ORD-1196</t>
  </si>
  <si>
    <t>ORD-1197</t>
  </si>
  <si>
    <t>ORD-1198</t>
  </si>
  <si>
    <t>ORD-1199</t>
  </si>
  <si>
    <t>ORD-1200</t>
  </si>
  <si>
    <t>ORD-1201</t>
  </si>
  <si>
    <t>ORD-1202</t>
  </si>
  <si>
    <t>ORD-1203</t>
  </si>
  <si>
    <t>ZOYA</t>
  </si>
  <si>
    <t>ORD-1204</t>
  </si>
  <si>
    <t>ORD-1205</t>
  </si>
  <si>
    <t>ORD-1206</t>
  </si>
  <si>
    <t>ORD-1207</t>
  </si>
  <si>
    <t>ORD-1208</t>
  </si>
  <si>
    <t>ORD-1209</t>
  </si>
  <si>
    <t>ORD-1210</t>
  </si>
  <si>
    <t>ORD-1211</t>
  </si>
  <si>
    <t>ORD-1212</t>
  </si>
  <si>
    <t>ORD-1213</t>
  </si>
  <si>
    <t>ORD-1214</t>
  </si>
  <si>
    <t>ORD-1215</t>
  </si>
  <si>
    <t>ORD-1216</t>
  </si>
  <si>
    <t>ORD-1217</t>
  </si>
  <si>
    <t>ORD-1218</t>
  </si>
  <si>
    <t>ORD-1219</t>
  </si>
  <si>
    <t>ORD-1220</t>
  </si>
  <si>
    <t>ORD-1221</t>
  </si>
  <si>
    <t>ORD-1222</t>
  </si>
  <si>
    <t>ORD-1223</t>
  </si>
  <si>
    <t>ORD-1224</t>
  </si>
  <si>
    <t>ORD-1225</t>
  </si>
  <si>
    <t>ORD-1226</t>
  </si>
  <si>
    <t>ORD-1227</t>
  </si>
  <si>
    <t>ORD-1228</t>
  </si>
  <si>
    <t>ORD-1229</t>
  </si>
  <si>
    <t>ORD-1230</t>
  </si>
  <si>
    <t>BILAL</t>
  </si>
  <si>
    <t>ORD-1231</t>
  </si>
  <si>
    <t>ORD-1232</t>
  </si>
  <si>
    <t>ORD-1233</t>
  </si>
  <si>
    <t>ORD-1234</t>
  </si>
  <si>
    <t>ORD-1235</t>
  </si>
  <si>
    <t>ORD-1236</t>
  </si>
  <si>
    <t>ORD-1237</t>
  </si>
  <si>
    <t>ORD-1238</t>
  </si>
  <si>
    <t>ORD-1239</t>
  </si>
  <si>
    <t>ORD-1240</t>
  </si>
  <si>
    <t>Sales Summary (auto-updates from Sales_Data)</t>
  </si>
  <si>
    <t>Total Sales (INR)</t>
  </si>
  <si>
    <t>Orders</t>
  </si>
  <si>
    <t>Total</t>
  </si>
  <si>
    <t>Note: a Region/Product spelled differently (e.g. 'North ' or 'north') is not counted here until you run CleanData.</t>
  </si>
  <si>
    <t>Month</t>
  </si>
  <si>
    <t>Month Start</t>
  </si>
  <si>
    <t>State</t>
  </si>
  <si>
    <t>Jammu and Kashmir, India</t>
  </si>
  <si>
    <t>Punjab, India</t>
  </si>
  <si>
    <t>Haryana, India</t>
  </si>
  <si>
    <t>Delhi, India</t>
  </si>
  <si>
    <t>Uttar Pradesh, India</t>
  </si>
  <si>
    <t>Himachal Pradesh, India</t>
  </si>
  <si>
    <t>Karnataka, India</t>
  </si>
  <si>
    <t>Tamil Nadu, India</t>
  </si>
  <si>
    <t>Kerala, India</t>
  </si>
  <si>
    <t>Andhra Pradesh, India</t>
  </si>
  <si>
    <t>Telangana, India</t>
  </si>
  <si>
    <t>West Bengal, India</t>
  </si>
  <si>
    <t>Odisha, India</t>
  </si>
  <si>
    <t>Bihar, India</t>
  </si>
  <si>
    <t>Jharkhand, India</t>
  </si>
  <si>
    <t>Assam, India</t>
  </si>
  <si>
    <t>Maharashtra, India</t>
  </si>
  <si>
    <t>Gujarat, India</t>
  </si>
  <si>
    <t>Rajasthan, India</t>
  </si>
  <si>
    <t>Goa, India</t>
  </si>
  <si>
    <t>SALES DASHBOARD</t>
  </si>
  <si>
    <t>TOTAL SALES</t>
  </si>
  <si>
    <t>TOTAL ORDERS</t>
  </si>
  <si>
    <t>AVG ORDER VALUE</t>
  </si>
  <si>
    <t>TOP REGION</t>
  </si>
  <si>
    <t>Built from Sales_Data  |  Refreshed: 30-Sep-2026 09:44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</si>
</sst>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\ hh:mm"/>
    <numFmt numFmtId="165" formatCode="dd\-mmm\-yyyy"/>
    <numFmt numFmtId="166" formatCode="&quot;INR &quot;#,##0"/>
  </numFmts>
  <fonts count="15" x14ac:knownFonts="1">
    <font>
      <sz val="11"/>
      <color theme="1"/>
      <name val="Calibri"/>
      <family val="2"/>
      <charset val="1"/>
    </font>
    <font>
      <b/>
      <sz val="16"/>
      <color rgb="FF1F4E78"/>
      <name val="Arial"/>
      <charset val="1"/>
    </font>
    <font>
      <b/>
      <sz val="10"/>
      <name val="Arial"/>
      <charset val="1"/>
    </font>
    <font>
      <sz val="10"/>
      <name val="Arial"/>
      <charset val="1"/>
    </font>
    <font>
      <b/>
      <sz val="11"/>
      <color rgb="FF1F4E78"/>
      <name val="Arial"/>
      <charset val="1"/>
    </font>
    <font>
      <b/>
      <sz val="11"/>
      <color rgb="FFFFFFFF"/>
      <name val="Arial"/>
      <charset val="1"/>
    </font>
    <font>
      <i/>
      <sz val="9"/>
      <color rgb="FF7F7F7F"/>
      <name val="Arial"/>
      <charset val="1"/>
    </font>
    <font>
      <b/>
      <sz val="14"/>
      <color rgb="FF1F4E78"/>
      <name val="Arial"/>
      <charset val="1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22"/>
      <color rgb="FFFFFFFF"/>
      <name val="Arial"/>
      <family val="2"/>
    </font>
    <font>
      <sz val="9"/>
      <color rgb="FF6E6E6E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1F4E78"/>
        <bgColor rgb="FF003366"/>
      </patternFill>
    </fill>
    <fill>
      <patternFill patternType="solid">
        <fgColor rgb="FFF2F4F7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009688"/>
        <bgColor indexed="64"/>
      </patternFill>
    </fill>
    <fill>
      <patternFill patternType="solid">
        <fgColor rgb="FFED7D31"/>
        <bgColor indexed="64"/>
      </patternFill>
    </fill>
  </fills>
  <borders count="1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rgb="FFF2F4F7"/>
      </left>
      <right/>
      <top/>
      <bottom/>
      <diagonal/>
    </border>
    <border>
      <left/>
      <right style="thick">
        <color rgb="FFF2F4F7"/>
      </right>
      <top/>
      <bottom/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0" fontId="2" fillId="0" borderId="0" xfId="0" applyFont="1"/>
    <xf numFmtId="164" fontId="3" fillId="2" borderId="1" xfId="0" applyNumberFormat="1" applyFont="1" applyFill="1" applyBorder="1" applyAlignment="1">
      <alignment horizontal="right"/>
    </xf>
    <xf numFmtId="3" fontId="3" fillId="0" borderId="1" xfId="0" applyNumberFormat="1" applyFont="1" applyBorder="1" applyAlignment="1">
      <alignment horizontal="right"/>
    </xf>
    <xf numFmtId="0" fontId="4" fillId="0" borderId="0" xfId="0" applyFont="1"/>
    <xf numFmtId="0" fontId="5" fillId="3" borderId="1" xfId="0" applyFont="1" applyFill="1" applyBorder="1"/>
    <xf numFmtId="0" fontId="3" fillId="0" borderId="1" xfId="0" applyFont="1" applyBorder="1"/>
    <xf numFmtId="0" fontId="5" fillId="3" borderId="1" xfId="0" applyFont="1" applyFill="1" applyBorder="1" applyAlignment="1">
      <alignment horizontal="center"/>
    </xf>
    <xf numFmtId="165" fontId="3" fillId="0" borderId="1" xfId="0" applyNumberFormat="1" applyFont="1" applyBorder="1"/>
    <xf numFmtId="3" fontId="3" fillId="0" borderId="1" xfId="0" applyNumberFormat="1" applyFont="1" applyBorder="1"/>
    <xf numFmtId="0" fontId="7" fillId="0" borderId="0" xfId="0" applyFont="1"/>
    <xf numFmtId="0" fontId="2" fillId="0" borderId="1" xfId="0" applyFont="1" applyBorder="1"/>
    <xf numFmtId="3" fontId="2" fillId="0" borderId="1" xfId="0" applyNumberFormat="1" applyFont="1" applyBorder="1"/>
    <xf numFmtId="0" fontId="6" fillId="0" borderId="0" xfId="0" applyFont="1"/>
    <xf numFmtId="0" fontId="8" fillId="0" borderId="0" xfId="0" applyFont="1"/>
    <xf numFmtId="165" fontId="8" fillId="0" borderId="0" xfId="0" applyNumberFormat="1" applyFont="1"/>
    <xf numFmtId="0" fontId="9" fillId="0" borderId="0" xfId="0" applyFont="1"/>
    <xf numFmtId="3" fontId="8" fillId="0" borderId="0" xfId="0" applyNumberFormat="1" applyFont="1"/>
    <xf numFmtId="0" fontId="8" fillId="4" borderId="0" xfId="0" applyFont="1" applyFill="1"/>
    <xf numFmtId="0" fontId="3" fillId="0" borderId="4" xfId="0" applyFont="1" applyBorder="1"/>
    <xf numFmtId="0" fontId="3" fillId="0" borderId="5" xfId="0" applyFont="1" applyBorder="1"/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3" fillId="0" borderId="9" xfId="0" applyFont="1" applyBorder="1"/>
    <xf numFmtId="165" fontId="3" fillId="0" borderId="10" xfId="0" applyNumberFormat="1" applyFont="1" applyBorder="1"/>
    <xf numFmtId="0" fontId="3" fillId="0" borderId="10" xfId="0" applyFont="1" applyBorder="1"/>
    <xf numFmtId="3" fontId="3" fillId="0" borderId="10" xfId="0" applyNumberFormat="1" applyFont="1" applyBorder="1"/>
    <xf numFmtId="0" fontId="3" fillId="0" borderId="11" xfId="0" applyFont="1" applyBorder="1"/>
    <xf numFmtId="0" fontId="10" fillId="5" borderId="0" xfId="0" applyFont="1" applyFill="1" applyAlignment="1">
      <alignment horizontal="left" vertical="center" indent="1"/>
    </xf>
    <xf numFmtId="0" fontId="11" fillId="4" borderId="0" xfId="0" applyFont="1" applyFill="1" applyAlignment="1">
      <alignment horizontal="left" indent="1"/>
    </xf>
    <xf numFmtId="0" fontId="12" fillId="5" borderId="2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166" fontId="13" fillId="5" borderId="2" xfId="0" applyNumberFormat="1" applyFont="1" applyFill="1" applyBorder="1" applyAlignment="1">
      <alignment horizontal="center" vertical="center"/>
    </xf>
    <xf numFmtId="166" fontId="13" fillId="5" borderId="0" xfId="0" applyNumberFormat="1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12" fillId="6" borderId="0" xfId="0" applyFont="1" applyFill="1" applyBorder="1" applyAlignment="1">
      <alignment horizontal="center" vertical="center"/>
    </xf>
    <xf numFmtId="3" fontId="13" fillId="6" borderId="2" xfId="0" applyNumberFormat="1" applyFont="1" applyFill="1" applyBorder="1" applyAlignment="1">
      <alignment horizontal="center" vertical="center"/>
    </xf>
    <xf numFmtId="3" fontId="13" fillId="6" borderId="0" xfId="0" applyNumberFormat="1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166" fontId="13" fillId="7" borderId="2" xfId="0" applyNumberFormat="1" applyFont="1" applyFill="1" applyBorder="1" applyAlignment="1">
      <alignment horizontal="center" vertical="center"/>
    </xf>
    <xf numFmtId="166" fontId="13" fillId="7" borderId="0" xfId="0" applyNumberFormat="1" applyFont="1" applyFill="1" applyBorder="1" applyAlignment="1">
      <alignment horizontal="center" vertical="center"/>
    </xf>
    <xf numFmtId="0" fontId="12" fillId="8" borderId="2" xfId="0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0" fontId="13" fillId="8" borderId="2" xfId="0" applyNumberFormat="1" applyFont="1" applyFill="1" applyBorder="1" applyAlignment="1">
      <alignment horizontal="center" vertical="center"/>
    </xf>
    <xf numFmtId="0" fontId="13" fillId="8" borderId="0" xfId="0" applyNumberFormat="1" applyFont="1" applyFill="1" applyBorder="1" applyAlignment="1">
      <alignment horizontal="center" vertical="center"/>
    </xf>
    <xf numFmtId="0" fontId="13" fillId="8" borderId="3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vertical="top" wrapText="1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border diagonalUp="0" diagonalDown="0">
        <left style="thin">
          <color rgb="FFBFBFBF"/>
        </left>
        <right/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numFmt numFmtId="3" formatCode="#,##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numFmt numFmtId="3" formatCode="#,##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numFmt numFmtId="165" formatCode="dd\-mmm\-yyyy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charset val="1"/>
        <scheme val="none"/>
      </font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charset val="1"/>
        <scheme val="none"/>
      </font>
      <fill>
        <patternFill patternType="solid">
          <fgColor rgb="FF003366"/>
          <bgColor rgb="FF1F4E7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IN"/>
              <a:t>Monthly Sales Trend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Dash_Data!$N$1</c:f>
              <c:strCache>
                <c:ptCount val="1"/>
                <c:pt idx="0">
                  <c:v>Sales (INR)</c:v>
                </c:pt>
              </c:strCache>
            </c:strRef>
          </c:tx>
          <c:spPr>
            <a:ln w="31750">
              <a:solidFill>
                <a:srgbClr val="1F4E78"/>
              </a:solidFill>
            </a:ln>
          </c:spPr>
          <c:marker>
            <c:symbol val="circle"/>
            <c:size val="6"/>
            <c:spPr>
              <a:ln w="31750">
                <a:solidFill>
                  <a:srgbClr val="1F4E78"/>
                </a:solidFill>
              </a:ln>
            </c:spPr>
          </c:marker>
          <c:cat>
            <c:strRef>
              <c:f>Dash_Data!$M$2:$M$13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Dash_Data!$N$2:$N$13</c:f>
              <c:numCache>
                <c:formatCode>#,##0</c:formatCode>
                <c:ptCount val="12"/>
                <c:pt idx="0">
                  <c:v>3981500</c:v>
                </c:pt>
                <c:pt idx="1">
                  <c:v>2505000</c:v>
                </c:pt>
                <c:pt idx="2">
                  <c:v>2824000</c:v>
                </c:pt>
                <c:pt idx="3">
                  <c:v>2511500</c:v>
                </c:pt>
                <c:pt idx="4">
                  <c:v>5728500</c:v>
                </c:pt>
                <c:pt idx="5">
                  <c:v>2546500</c:v>
                </c:pt>
                <c:pt idx="6">
                  <c:v>3132000</c:v>
                </c:pt>
                <c:pt idx="7">
                  <c:v>6790000</c:v>
                </c:pt>
                <c:pt idx="8">
                  <c:v>2634000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76-487F-AA75-48440CC70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60504"/>
        <c:axId val="472860832"/>
      </c:lineChart>
      <c:catAx>
        <c:axId val="472860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860832"/>
        <c:crosses val="autoZero"/>
        <c:auto val="1"/>
        <c:lblAlgn val="ctr"/>
        <c:lblOffset val="100"/>
        <c:noMultiLvlLbl val="0"/>
      </c:catAx>
      <c:valAx>
        <c:axId val="472860832"/>
        <c:scaling>
          <c:orientation val="minMax"/>
        </c:scaling>
        <c:delete val="0"/>
        <c:axPos val="l"/>
        <c:majorGridlines/>
        <c:numFmt formatCode="0.0,,&quot;M&quot;" sourceLinked="0"/>
        <c:majorTickMark val="out"/>
        <c:minorTickMark val="none"/>
        <c:tickLblPos val="nextTo"/>
        <c:crossAx val="47286050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rgbClr val="D7DBE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IN"/>
              <a:t>Sales by Region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Dash_Data!$B$1</c:f>
              <c:strCache>
                <c:ptCount val="1"/>
                <c:pt idx="0">
                  <c:v>Sales (INR)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2E75B6"/>
              </a:solidFill>
            </c:spPr>
            <c:extLst>
              <c:ext xmlns:c16="http://schemas.microsoft.com/office/drawing/2014/chart" uri="{C3380CC4-5D6E-409C-BE32-E72D297353CC}">
                <c16:uniqueId val="{00000003-04C3-449A-9841-9A263023FD7B}"/>
              </c:ext>
            </c:extLst>
          </c:dPt>
          <c:dPt>
            <c:idx val="1"/>
            <c:invertIfNegative val="0"/>
            <c:bubble3D val="0"/>
            <c:spPr>
              <a:solidFill>
                <a:srgbClr val="009688"/>
              </a:solidFill>
            </c:spPr>
            <c:extLst>
              <c:ext xmlns:c16="http://schemas.microsoft.com/office/drawing/2014/chart" uri="{C3380CC4-5D6E-409C-BE32-E72D297353CC}">
                <c16:uniqueId val="{00000004-04C3-449A-9841-9A263023FD7B}"/>
              </c:ext>
            </c:extLst>
          </c:dPt>
          <c:dPt>
            <c:idx val="2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5-04C3-449A-9841-9A263023FD7B}"/>
              </c:ext>
            </c:extLst>
          </c:dPt>
          <c:dPt>
            <c:idx val="3"/>
            <c:invertIfNegative val="0"/>
            <c:bubble3D val="0"/>
            <c:spPr>
              <a:solidFill>
                <a:srgbClr val="A5A5A5"/>
              </a:solidFill>
            </c:spPr>
            <c:extLst>
              <c:ext xmlns:c16="http://schemas.microsoft.com/office/drawing/2014/chart" uri="{C3380CC4-5D6E-409C-BE32-E72D297353CC}">
                <c16:uniqueId val="{00000006-04C3-449A-9841-9A263023FD7B}"/>
              </c:ext>
            </c:extLst>
          </c:dPt>
          <c:dLbls>
            <c:numFmt formatCode="0.0,,&quot;M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Dash_Data!$A$2:$A$5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Dash_Data!$B$2:$B$5</c:f>
              <c:numCache>
                <c:formatCode>#,##0</c:formatCode>
                <c:ptCount val="4"/>
                <c:pt idx="0">
                  <c:v>7712500</c:v>
                </c:pt>
                <c:pt idx="1">
                  <c:v>8361500</c:v>
                </c:pt>
                <c:pt idx="2">
                  <c:v>8866000</c:v>
                </c:pt>
                <c:pt idx="3">
                  <c:v>6601000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C3-449A-9841-9A263023F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857224"/>
        <c:axId val="472855256"/>
      </c:barChart>
      <c:catAx>
        <c:axId val="472857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855256"/>
        <c:crosses val="autoZero"/>
        <c:auto val="1"/>
        <c:lblAlgn val="ctr"/>
        <c:lblOffset val="100"/>
        <c:noMultiLvlLbl val="0"/>
      </c:catAx>
      <c:valAx>
        <c:axId val="472855256"/>
        <c:scaling>
          <c:orientation val="minMax"/>
        </c:scaling>
        <c:delete val="0"/>
        <c:axPos val="l"/>
        <c:majorGridlines/>
        <c:numFmt formatCode="0.0,,&quot;M&quot;" sourceLinked="0"/>
        <c:majorTickMark val="out"/>
        <c:minorTickMark val="none"/>
        <c:tickLblPos val="nextTo"/>
        <c:crossAx val="4728572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rgbClr val="D7DBE0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IN"/>
              <a:t>Sales Share by Category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Dash_Data!$E$1</c:f>
              <c:strCache>
                <c:ptCount val="1"/>
                <c:pt idx="0">
                  <c:v>Sales (INR)</c:v>
                </c:pt>
              </c:strCache>
            </c:strRef>
          </c:tx>
          <c:dPt>
            <c:idx val="0"/>
            <c:bubble3D val="0"/>
            <c:spPr>
              <a:solidFill>
                <a:srgbClr val="2E75B6"/>
              </a:solidFill>
            </c:spPr>
            <c:extLst>
              <c:ext xmlns:c16="http://schemas.microsoft.com/office/drawing/2014/chart" uri="{C3380CC4-5D6E-409C-BE32-E72D297353CC}">
                <c16:uniqueId val="{00000003-4242-4916-8D0A-F0B9500EED09}"/>
              </c:ext>
            </c:extLst>
          </c:dPt>
          <c:dPt>
            <c:idx val="1"/>
            <c:bubble3D val="0"/>
            <c:spPr>
              <a:solidFill>
                <a:srgbClr val="009688"/>
              </a:solidFill>
            </c:spPr>
            <c:extLst>
              <c:ext xmlns:c16="http://schemas.microsoft.com/office/drawing/2014/chart" uri="{C3380CC4-5D6E-409C-BE32-E72D297353CC}">
                <c16:uniqueId val="{00000004-4242-4916-8D0A-F0B9500EED09}"/>
              </c:ext>
            </c:extLst>
          </c:dPt>
          <c:dPt>
            <c:idx val="2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5-4242-4916-8D0A-F0B9500EED09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Dash_Data!$D$2:$D$4</c:f>
              <c:strCache>
                <c:ptCount val="3"/>
                <c:pt idx="0">
                  <c:v>Computers</c:v>
                </c:pt>
                <c:pt idx="1">
                  <c:v>Mobiles</c:v>
                </c:pt>
                <c:pt idx="2">
                  <c:v>Accessories</c:v>
                </c:pt>
              </c:strCache>
            </c:strRef>
          </c:cat>
          <c:val>
            <c:numRef>
              <c:f>Dash_Data!$E$2:$E$4</c:f>
              <c:numCache>
                <c:formatCode>#,##0</c:formatCode>
                <c:ptCount val="3"/>
                <c:pt idx="0">
                  <c:v>19992000</c:v>
                </c:pt>
                <c:pt idx="1">
                  <c:v>12026000</c:v>
                </c:pt>
                <c:pt idx="2">
                  <c:v>635000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42-4916-8D0A-F0B9500EE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rgbClr val="D7DBE0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IN"/>
              <a:t>Order Status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Dash_Data!$H$1</c:f>
              <c:strCache>
                <c:ptCount val="1"/>
                <c:pt idx="0">
                  <c:v>Orders</c:v>
                </c:pt>
              </c:strCache>
            </c:strRef>
          </c:tx>
          <c:dPt>
            <c:idx val="0"/>
            <c:bubble3D val="0"/>
            <c:spPr>
              <a:solidFill>
                <a:srgbClr val="2E75B6"/>
              </a:solidFill>
            </c:spPr>
            <c:extLst>
              <c:ext xmlns:c16="http://schemas.microsoft.com/office/drawing/2014/chart" uri="{C3380CC4-5D6E-409C-BE32-E72D297353CC}">
                <c16:uniqueId val="{00000003-7563-42CE-89B4-C96F3DB49E39}"/>
              </c:ext>
            </c:extLst>
          </c:dPt>
          <c:dPt>
            <c:idx val="1"/>
            <c:bubble3D val="0"/>
            <c:spPr>
              <a:solidFill>
                <a:srgbClr val="009688"/>
              </a:solidFill>
            </c:spPr>
            <c:extLst>
              <c:ext xmlns:c16="http://schemas.microsoft.com/office/drawing/2014/chart" uri="{C3380CC4-5D6E-409C-BE32-E72D297353CC}">
                <c16:uniqueId val="{00000004-7563-42CE-89B4-C96F3DB49E39}"/>
              </c:ext>
            </c:extLst>
          </c:dPt>
          <c:dPt>
            <c:idx val="2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5-7563-42CE-89B4-C96F3DB49E39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Dash_Data!$G$2:$G$4</c:f>
              <c:strCache>
                <c:ptCount val="3"/>
                <c:pt idx="0">
                  <c:v>Delivered</c:v>
                </c:pt>
                <c:pt idx="1">
                  <c:v>Pending</c:v>
                </c:pt>
                <c:pt idx="2">
                  <c:v>Returned</c:v>
                </c:pt>
              </c:strCache>
            </c:strRef>
          </c:cat>
          <c:val>
            <c:numRef>
              <c:f>Dash_Data!$H$2:$H$4</c:f>
              <c:numCache>
                <c:formatCode>General</c:formatCode>
                <c:ptCount val="3"/>
                <c:pt idx="0">
                  <c:v>169</c:v>
                </c:pt>
                <c:pt idx="1">
                  <c:v>48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63-42CE-89B4-C96F3DB49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5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rgbClr val="D7DBE0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IN"/>
              <a:t>Sales by Salesperson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Dash_Data!$K$1</c:f>
              <c:strCache>
                <c:ptCount val="1"/>
                <c:pt idx="0">
                  <c:v>Sales (INR)</c:v>
                </c:pt>
              </c:strCache>
            </c:strRef>
          </c:tx>
          <c:spPr>
            <a:solidFill>
              <a:srgbClr val="2E75B6"/>
            </a:solidFill>
          </c:spPr>
          <c:invertIfNegative val="0"/>
          <c:dLbls>
            <c:numFmt formatCode="0.0,,&quot;M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Dash_Data!$J$2:$J$6</c:f>
              <c:strCache>
                <c:ptCount val="5"/>
                <c:pt idx="0">
                  <c:v>Aamir</c:v>
                </c:pt>
                <c:pt idx="1">
                  <c:v>Sana</c:v>
                </c:pt>
                <c:pt idx="2">
                  <c:v>Bilal</c:v>
                </c:pt>
                <c:pt idx="3">
                  <c:v>Zoya</c:v>
                </c:pt>
                <c:pt idx="4">
                  <c:v>Irfan</c:v>
                </c:pt>
              </c:strCache>
            </c:strRef>
          </c:cat>
          <c:val>
            <c:numRef>
              <c:f>Dash_Data!$K$2:$K$6</c:f>
              <c:numCache>
                <c:formatCode>#,##0</c:formatCode>
                <c:ptCount val="5"/>
                <c:pt idx="0">
                  <c:v>4072000</c:v>
                </c:pt>
                <c:pt idx="1">
                  <c:v>7610500</c:v>
                </c:pt>
                <c:pt idx="2">
                  <c:v>8561000</c:v>
                </c:pt>
                <c:pt idx="3">
                  <c:v>6356500</c:v>
                </c:pt>
                <c:pt idx="4">
                  <c:v>6053000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FD-4B4A-9699-5D93024F9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850664"/>
        <c:axId val="472852632"/>
      </c:barChart>
      <c:catAx>
        <c:axId val="47285066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472852632"/>
        <c:crosses val="autoZero"/>
        <c:auto val="1"/>
        <c:lblAlgn val="ctr"/>
        <c:lblOffset val="100"/>
        <c:noMultiLvlLbl val="0"/>
      </c:catAx>
      <c:valAx>
        <c:axId val="472852632"/>
        <c:scaling>
          <c:orientation val="minMax"/>
        </c:scaling>
        <c:delete val="0"/>
        <c:axPos val="t"/>
        <c:majorGridlines/>
        <c:numFmt formatCode="0.0,,&quot;M&quot;" sourceLinked="0"/>
        <c:majorTickMark val="out"/>
        <c:minorTickMark val="none"/>
        <c:tickLblPos val="nextTo"/>
        <c:crossAx val="47285066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rgbClr val="D7DBE0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IN"/>
              <a:t>Regional Sales by Product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Dash_Data!$R$1</c:f>
              <c:strCache>
                <c:ptCount val="1"/>
                <c:pt idx="0">
                  <c:v>Laptop</c:v>
                </c:pt>
              </c:strCache>
            </c:strRef>
          </c:tx>
          <c:spPr>
            <a:solidFill>
              <a:srgbClr val="2E75B6"/>
            </a:solidFill>
          </c:spPr>
          <c:invertIfNegative val="0"/>
          <c:cat>
            <c:strRef>
              <c:f>Dash_Data!$Q$2:$Q$5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Dash_Data!$R$2:$R$5</c:f>
              <c:numCache>
                <c:formatCode>#,##0</c:formatCode>
                <c:ptCount val="4"/>
                <c:pt idx="0">
                  <c:v>3080000</c:v>
                </c:pt>
                <c:pt idx="1">
                  <c:v>5115000</c:v>
                </c:pt>
                <c:pt idx="2">
                  <c:v>4840000</c:v>
                </c:pt>
                <c:pt idx="3">
                  <c:v>3960000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7E-472A-B08C-8760DAF3BD88}"/>
            </c:ext>
          </c:extLst>
        </c:ser>
        <c:ser>
          <c:idx val="1"/>
          <c:order val="1"/>
          <c:tx>
            <c:strRef>
              <c:f>Dash_Data!$S$1</c:f>
              <c:strCache>
                <c:ptCount val="1"/>
                <c:pt idx="0">
                  <c:v>Phone</c:v>
                </c:pt>
              </c:strCache>
            </c:strRef>
          </c:tx>
          <c:spPr>
            <a:solidFill>
              <a:srgbClr val="009688"/>
            </a:solidFill>
          </c:spPr>
          <c:invertIfNegative val="0"/>
          <c:cat>
            <c:strRef>
              <c:f>Dash_Data!$Q$2:$Q$5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Dash_Data!$S$2:$S$5</c:f>
              <c:numCache>
                <c:formatCode>#,##0</c:formatCode>
                <c:ptCount val="4"/>
                <c:pt idx="0">
                  <c:v>2002000</c:v>
                </c:pt>
                <c:pt idx="1">
                  <c:v>1342000</c:v>
                </c:pt>
                <c:pt idx="2">
                  <c:v>2134000</c:v>
                </c:pt>
                <c:pt idx="3">
                  <c:v>1364000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7E-472A-B08C-8760DAF3BD88}"/>
            </c:ext>
          </c:extLst>
        </c:ser>
        <c:ser>
          <c:idx val="2"/>
          <c:order val="2"/>
          <c:tx>
            <c:strRef>
              <c:f>Dash_Data!$T$1</c:f>
              <c:strCache>
                <c:ptCount val="1"/>
                <c:pt idx="0">
                  <c:v>Tablet</c:v>
                </c:pt>
              </c:strCache>
            </c:strRef>
          </c:tx>
          <c:spPr>
            <a:solidFill>
              <a:srgbClr val="ED7D31"/>
            </a:solidFill>
          </c:spPr>
          <c:invertIfNegative val="0"/>
          <c:cat>
            <c:strRef>
              <c:f>Dash_Data!$Q$2:$Q$5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Dash_Data!$T$2:$T$5</c:f>
              <c:numCache>
                <c:formatCode>#,##0</c:formatCode>
                <c:ptCount val="4"/>
                <c:pt idx="0">
                  <c:v>1728000</c:v>
                </c:pt>
                <c:pt idx="1">
                  <c:v>1062000</c:v>
                </c:pt>
                <c:pt idx="2">
                  <c:v>1152000</c:v>
                </c:pt>
                <c:pt idx="3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7E-472A-B08C-8760DAF3BD88}"/>
            </c:ext>
          </c:extLst>
        </c:ser>
        <c:ser>
          <c:idx val="3"/>
          <c:order val="3"/>
          <c:tx>
            <c:strRef>
              <c:f>Dash_Data!$U$1</c:f>
              <c:strCache>
                <c:ptCount val="1"/>
                <c:pt idx="0">
                  <c:v>Headphones</c:v>
                </c:pt>
              </c:strCache>
            </c:strRef>
          </c:tx>
          <c:spPr>
            <a:solidFill>
              <a:srgbClr val="A5A5A5"/>
            </a:solidFill>
          </c:spPr>
          <c:invertIfNegative val="0"/>
          <c:cat>
            <c:strRef>
              <c:f>Dash_Data!$Q$2:$Q$5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Dash_Data!$U$2:$U$5</c:f>
              <c:numCache>
                <c:formatCode>#,##0</c:formatCode>
                <c:ptCount val="4"/>
                <c:pt idx="0">
                  <c:v>182500</c:v>
                </c:pt>
                <c:pt idx="1">
                  <c:v>122500</c:v>
                </c:pt>
                <c:pt idx="2">
                  <c:v>140000</c:v>
                </c:pt>
                <c:pt idx="3">
                  <c:v>155000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7E-472A-B08C-8760DAF3BD88}"/>
            </c:ext>
          </c:extLst>
        </c:ser>
        <c:ser>
          <c:idx val="4"/>
          <c:order val="4"/>
          <c:tx>
            <c:strRef>
              <c:f>Dash_Data!$V$1</c:f>
              <c:strCache>
                <c:ptCount val="1"/>
                <c:pt idx="0">
                  <c:v>Monitor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Dash_Data!$Q$2:$Q$5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Dash_Data!$V$2:$V$5</c:f>
              <c:numCache>
                <c:formatCode>#,##0</c:formatCode>
                <c:ptCount val="4"/>
                <c:pt idx="0">
                  <c:v>720000</c:v>
                </c:pt>
                <c:pt idx="1">
                  <c:v>720000</c:v>
                </c:pt>
                <c:pt idx="2">
                  <c:v>600000</c:v>
                </c:pt>
                <c:pt idx="3">
                  <c:v>672000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7E-472A-B08C-8760DAF3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9655104"/>
        <c:axId val="479656416"/>
      </c:barChart>
      <c:catAx>
        <c:axId val="479655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9656416"/>
        <c:crosses val="autoZero"/>
        <c:auto val="1"/>
        <c:lblAlgn val="ctr"/>
        <c:lblOffset val="100"/>
        <c:noMultiLvlLbl val="0"/>
      </c:catAx>
      <c:valAx>
        <c:axId val="479656416"/>
        <c:scaling>
          <c:orientation val="minMax"/>
        </c:scaling>
        <c:delete val="0"/>
        <c:axPos val="l"/>
        <c:majorGridlines/>
        <c:numFmt formatCode="0.0,,&quot;M&quot;" sourceLinked="0"/>
        <c:majorTickMark val="out"/>
        <c:minorTickMark val="none"/>
        <c:tickLblPos val="nextTo"/>
        <c:crossAx val="47965510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rgbClr val="D7DBE0"/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8</xdr:col>
      <xdr:colOff>679450</xdr:colOff>
      <xdr:row>24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63500</xdr:colOff>
      <xdr:row>8</xdr:row>
      <xdr:rowOff>0</xdr:rowOff>
    </xdr:from>
    <xdr:to>
      <xdr:col>17</xdr:col>
      <xdr:colOff>0</xdr:colOff>
      <xdr:row>24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25</xdr:row>
      <xdr:rowOff>88900</xdr:rowOff>
    </xdr:from>
    <xdr:to>
      <xdr:col>6</xdr:col>
      <xdr:colOff>162983</xdr:colOff>
      <xdr:row>42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289983</xdr:colOff>
      <xdr:row>25</xdr:row>
      <xdr:rowOff>88900</xdr:rowOff>
    </xdr:from>
    <xdr:to>
      <xdr:col>11</xdr:col>
      <xdr:colOff>452966</xdr:colOff>
      <xdr:row>42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579967</xdr:colOff>
      <xdr:row>25</xdr:row>
      <xdr:rowOff>88900</xdr:rowOff>
    </xdr:from>
    <xdr:to>
      <xdr:col>17</xdr:col>
      <xdr:colOff>0</xdr:colOff>
      <xdr:row>42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679450</xdr:colOff>
      <xdr:row>59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63500</xdr:colOff>
      <xdr:row>43</xdr:row>
      <xdr:rowOff>0</xdr:rowOff>
    </xdr:from>
    <xdr:to>
      <xdr:col>17</xdr:col>
      <xdr:colOff>0</xdr:colOff>
      <xdr:row>59</xdr:row>
      <xdr:rowOff>139700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6191250" y="8204200"/>
          <a:ext cx="5880100" cy="298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Map chart is not available in this Excel.</a:t>
          </a:r>
        </a:p>
        <a:p>
          <a:r>
            <a:rPr lang="en-IN" sz="1100"/>
            <a:t>It needs Excel 2019 / Microsoft 365 and internet.</a:t>
          </a:r>
        </a:p>
        <a:p>
          <a:r>
            <a:rPr lang="en-IN" sz="1100"/>
            <a:t>Manual way: go to Dash_Data, select X1:Y21, then Insert &gt; Maps &gt; Filled Map.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152400</xdr:rowOff>
        </xdr:from>
        <xdr:to>
          <xdr:col>16</xdr:col>
          <xdr:colOff>400050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520700</xdr:colOff>
      <xdr:row>2</xdr:row>
      <xdr:rowOff>107950</xdr:rowOff>
    </xdr:from>
    <xdr:to>
      <xdr:col>13</xdr:col>
      <xdr:colOff>6350</xdr:colOff>
      <xdr:row>4</xdr:row>
      <xdr:rowOff>69850</xdr:rowOff>
    </xdr:to>
    <xdr:sp macro="[0]!BuildDashboard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042400" y="476250"/>
          <a:ext cx="1295400" cy="33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400" b="1"/>
            <a:t>Automation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D6BB7B-D655-4BD1-8F07-6D6D199DBA23}" name="Table1" displayName="Table1" ref="A1:J249" totalsRowShown="0" headerRowDxfId="13" headerRowBorderDxfId="12" tableBorderDxfId="11" totalsRowBorderDxfId="10">
  <autoFilter ref="A1:J249" xr:uid="{38E12C86-9A44-4C35-9F3F-290AEC0CF4A7}"/>
  <tableColumns count="10">
    <tableColumn id="1" xr3:uid="{CE4240FE-A41D-48EA-829A-D0695696C866}" name="Order ID" dataDxfId="9"/>
    <tableColumn id="2" xr3:uid="{AD8E851A-28B6-4C41-9A9F-784CD1FDDDF6}" name="Date" dataDxfId="8"/>
    <tableColumn id="3" xr3:uid="{296026A5-B577-4202-8E25-49E6B2212856}" name="Region" dataDxfId="7"/>
    <tableColumn id="4" xr3:uid="{E53450C2-626A-48AF-8E63-E5E6EE14D94F}" name="Salesperson" dataDxfId="6"/>
    <tableColumn id="5" xr3:uid="{5D9B47BE-D725-4447-BF5C-FAE48BB3EC9A}" name="Product" dataDxfId="5"/>
    <tableColumn id="6" xr3:uid="{B718453A-7E13-4CE2-8886-7F754AAD16FC}" name="Category" dataDxfId="4"/>
    <tableColumn id="7" xr3:uid="{828FB526-377B-4E2A-AC53-FD391590DBF6}" name="Qty" dataDxfId="3"/>
    <tableColumn id="8" xr3:uid="{8B8BFAEE-37A2-4266-BB47-559AF1297108}" name="Unit Price (INR)" dataDxfId="2"/>
    <tableColumn id="9" xr3:uid="{5C22E68B-7CAA-4DAA-9868-277B049B99EA}" name="Sales (INR)" dataDxfId="1">
      <calculatedColumnFormula>G2*H2</calculatedColumnFormula>
    </tableColumn>
    <tableColumn id="10" xr3:uid="{21137720-2240-4A53-9D77-D15BAB856784}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B62D8-5D45-4A5D-B6BF-105637587981}">
  <dimension ref="A1:R70"/>
  <sheetViews>
    <sheetView showGridLines="0" tabSelected="1" zoomScale="90" zoomScaleNormal="90" workbookViewId="0"/>
  </sheetViews>
  <sheetFormatPr defaultRowHeight="14" x14ac:dyDescent="0.3"/>
  <cols>
    <col min="1" max="1" width="2.6328125" style="15" customWidth="1"/>
    <col min="2" max="17" width="10.6328125" style="15" customWidth="1"/>
    <col min="18" max="16384" width="8.7265625" style="15"/>
  </cols>
  <sheetData>
    <row r="1" spans="1:18" ht="24" customHeight="1" x14ac:dyDescent="0.3">
      <c r="A1" s="19"/>
      <c r="B1" s="30" t="s">
        <v>341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19"/>
    </row>
    <row r="2" spans="1:18" ht="24" customHeight="1" x14ac:dyDescent="0.3">
      <c r="A2" s="19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19"/>
    </row>
    <row r="3" spans="1:18" x14ac:dyDescent="0.3">
      <c r="A3" s="19"/>
      <c r="B3" s="31" t="s">
        <v>346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19"/>
    </row>
    <row r="4" spans="1:18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</row>
    <row r="5" spans="1:18" ht="18" customHeight="1" x14ac:dyDescent="0.3">
      <c r="A5" s="19"/>
      <c r="B5" s="32" t="s">
        <v>342</v>
      </c>
      <c r="C5" s="33"/>
      <c r="D5" s="33"/>
      <c r="E5" s="33"/>
      <c r="F5" s="36" t="s">
        <v>343</v>
      </c>
      <c r="G5" s="37"/>
      <c r="H5" s="37"/>
      <c r="I5" s="37"/>
      <c r="J5" s="40" t="s">
        <v>344</v>
      </c>
      <c r="K5" s="41"/>
      <c r="L5" s="41"/>
      <c r="M5" s="41"/>
      <c r="N5" s="44" t="s">
        <v>345</v>
      </c>
      <c r="O5" s="45"/>
      <c r="P5" s="45"/>
      <c r="Q5" s="46"/>
      <c r="R5" s="19"/>
    </row>
    <row r="6" spans="1:18" ht="34" customHeight="1" x14ac:dyDescent="0.3">
      <c r="A6" s="19"/>
      <c r="B6" s="34">
        <f>SUM(Sales_Data!I2:I2000)</f>
        <v>32653000</v>
      </c>
      <c r="C6" s="35"/>
      <c r="D6" s="35"/>
      <c r="E6" s="35"/>
      <c r="F6" s="38">
        <f>COUNTA(Sales_Data!A2:A2000)</f>
        <v>248</v>
      </c>
      <c r="G6" s="39"/>
      <c r="H6" s="39"/>
      <c r="I6" s="39"/>
      <c r="J6" s="42">
        <f>IFERROR(SUM(Sales_Data!I2:I2000)/COUNTA(Sales_Data!A2:A2000),0)</f>
        <v>131665.32258064515</v>
      </c>
      <c r="K6" s="43"/>
      <c r="L6" s="43"/>
      <c r="M6" s="43"/>
      <c r="N6" s="47" t="str">
        <f>INDEX(Dash_Data!A2:A5,MATCH(MAX(Dash_Data!B2:B5),Dash_Data!B2:B5,0))</f>
        <v>East</v>
      </c>
      <c r="O6" s="48"/>
      <c r="P6" s="48"/>
      <c r="Q6" s="49"/>
      <c r="R6" s="19"/>
    </row>
    <row r="7" spans="1:18" x14ac:dyDescent="0.3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</row>
    <row r="8" spans="1:18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</row>
    <row r="9" spans="1:18" x14ac:dyDescent="0.3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</row>
    <row r="10" spans="1:18" x14ac:dyDescent="0.3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</row>
    <row r="11" spans="1:18" x14ac:dyDescent="0.3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</row>
    <row r="12" spans="1:18" x14ac:dyDescent="0.3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</row>
    <row r="13" spans="1:18" x14ac:dyDescent="0.3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</row>
    <row r="14" spans="1:18" x14ac:dyDescent="0.3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</row>
    <row r="15" spans="1:18" x14ac:dyDescent="0.3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</row>
    <row r="16" spans="1:18" x14ac:dyDescent="0.3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</row>
    <row r="17" spans="1:18" x14ac:dyDescent="0.3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</row>
    <row r="18" spans="1:18" x14ac:dyDescent="0.3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</row>
    <row r="19" spans="1:18" x14ac:dyDescent="0.3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</row>
    <row r="20" spans="1:18" x14ac:dyDescent="0.3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</row>
    <row r="21" spans="1:18" x14ac:dyDescent="0.3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1:18" x14ac:dyDescent="0.3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1:18" x14ac:dyDescent="0.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1:18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1:18" x14ac:dyDescent="0.3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</row>
    <row r="26" spans="1:18" x14ac:dyDescent="0.3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</row>
    <row r="27" spans="1:18" x14ac:dyDescent="0.3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</row>
    <row r="28" spans="1:18" x14ac:dyDescent="0.3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</row>
    <row r="29" spans="1:18" x14ac:dyDescent="0.3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</row>
    <row r="30" spans="1:18" x14ac:dyDescent="0.3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</row>
    <row r="31" spans="1:18" x14ac:dyDescent="0.3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</row>
    <row r="32" spans="1:18" x14ac:dyDescent="0.3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</row>
    <row r="33" spans="1:18" x14ac:dyDescent="0.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</row>
    <row r="34" spans="1:18" x14ac:dyDescent="0.3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</row>
    <row r="35" spans="1:18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</row>
    <row r="36" spans="1:18" x14ac:dyDescent="0.3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</row>
    <row r="37" spans="1:18" x14ac:dyDescent="0.3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</row>
    <row r="38" spans="1:18" x14ac:dyDescent="0.3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</row>
    <row r="39" spans="1:18" x14ac:dyDescent="0.3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</row>
    <row r="40" spans="1:18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</row>
    <row r="41" spans="1:18" x14ac:dyDescent="0.3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</row>
    <row r="42" spans="1:18" x14ac:dyDescent="0.3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</row>
    <row r="43" spans="1:18" x14ac:dyDescent="0.3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</row>
    <row r="44" spans="1:18" x14ac:dyDescent="0.3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</row>
    <row r="45" spans="1:18" x14ac:dyDescent="0.3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</row>
    <row r="46" spans="1:18" x14ac:dyDescent="0.3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</row>
    <row r="47" spans="1:18" x14ac:dyDescent="0.3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</row>
    <row r="48" spans="1:18" x14ac:dyDescent="0.3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</row>
    <row r="49" spans="1:18" x14ac:dyDescent="0.3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</row>
    <row r="50" spans="1:18" x14ac:dyDescent="0.3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</row>
    <row r="51" spans="1:18" x14ac:dyDescent="0.3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</row>
    <row r="52" spans="1:18" x14ac:dyDescent="0.3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</row>
    <row r="53" spans="1:18" x14ac:dyDescent="0.3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</row>
    <row r="54" spans="1:18" x14ac:dyDescent="0.3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</row>
    <row r="55" spans="1:18" x14ac:dyDescent="0.3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spans="1:18" x14ac:dyDescent="0.3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</row>
    <row r="57" spans="1:18" x14ac:dyDescent="0.3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</row>
    <row r="58" spans="1:18" x14ac:dyDescent="0.3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</row>
    <row r="59" spans="1:18" x14ac:dyDescent="0.3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</row>
    <row r="60" spans="1:18" x14ac:dyDescent="0.3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</row>
    <row r="61" spans="1:18" x14ac:dyDescent="0.3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spans="1:18" x14ac:dyDescent="0.3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</row>
    <row r="63" spans="1:18" x14ac:dyDescent="0.3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</row>
    <row r="64" spans="1:18" x14ac:dyDescent="0.3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spans="1:18" x14ac:dyDescent="0.3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spans="1:18" x14ac:dyDescent="0.3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</row>
    <row r="67" spans="1:18" x14ac:dyDescent="0.3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</row>
    <row r="68" spans="1:18" x14ac:dyDescent="0.3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</row>
    <row r="69" spans="1:18" x14ac:dyDescent="0.3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</row>
    <row r="70" spans="1:18" x14ac:dyDescent="0.3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</row>
  </sheetData>
  <mergeCells count="10">
    <mergeCell ref="B1:Q2"/>
    <mergeCell ref="B3:Q3"/>
    <mergeCell ref="B5:E5"/>
    <mergeCell ref="B6:E6"/>
    <mergeCell ref="F5:I5"/>
    <mergeCell ref="F6:I6"/>
    <mergeCell ref="J5:M5"/>
    <mergeCell ref="J6:M6"/>
    <mergeCell ref="N5:Q5"/>
    <mergeCell ref="N6:Q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ildDashboard">
                <anchor moveWithCells="1" sizeWithCells="1">
                  <from>
                    <xdr:col>15</xdr:col>
                    <xdr:colOff>0</xdr:colOff>
                    <xdr:row>0</xdr:row>
                    <xdr:rowOff>152400</xdr:rowOff>
                  </from>
                  <to>
                    <xdr:col>16</xdr:col>
                    <xdr:colOff>400050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22"/>
  <sheetViews>
    <sheetView showGridLines="0" topLeftCell="A10" zoomScaleNormal="100" workbookViewId="0"/>
  </sheetViews>
  <sheetFormatPr defaultColWidth="8.6328125" defaultRowHeight="14.5" x14ac:dyDescent="0.35"/>
  <cols>
    <col min="1" max="1" width="3" customWidth="1"/>
    <col min="2" max="2" width="44" customWidth="1"/>
    <col min="3" max="3" width="22" customWidth="1"/>
    <col min="4" max="4" width="58" customWidth="1"/>
  </cols>
  <sheetData>
    <row r="2" spans="2:4" ht="20" x14ac:dyDescent="0.4">
      <c r="B2" s="1" t="s">
        <v>0</v>
      </c>
    </row>
    <row r="4" spans="2:4" x14ac:dyDescent="0.35">
      <c r="B4" s="2" t="s">
        <v>1</v>
      </c>
      <c r="C4" s="3"/>
    </row>
    <row r="5" spans="2:4" x14ac:dyDescent="0.35">
      <c r="B5" s="2" t="s">
        <v>2</v>
      </c>
      <c r="C5" s="4">
        <f>SUM(Sales_Data!I2:I2000)</f>
        <v>32653000</v>
      </c>
    </row>
    <row r="6" spans="2:4" x14ac:dyDescent="0.35">
      <c r="B6" s="2" t="s">
        <v>3</v>
      </c>
      <c r="C6" s="4">
        <f>COUNTA(Sales_Data!A2:A2000)</f>
        <v>248</v>
      </c>
    </row>
    <row r="7" spans="2:4" x14ac:dyDescent="0.35">
      <c r="B7" s="2" t="s">
        <v>4</v>
      </c>
      <c r="C7" s="4">
        <f>C5-Summary!B9</f>
        <v>1112000</v>
      </c>
    </row>
    <row r="10" spans="2:4" x14ac:dyDescent="0.35">
      <c r="B10" s="5" t="s">
        <v>5</v>
      </c>
    </row>
    <row r="11" spans="2:4" x14ac:dyDescent="0.35">
      <c r="B11" s="6" t="s">
        <v>6</v>
      </c>
      <c r="C11" s="6" t="s">
        <v>7</v>
      </c>
      <c r="D11" s="6" t="s">
        <v>8</v>
      </c>
    </row>
    <row r="12" spans="2:4" x14ac:dyDescent="0.35">
      <c r="B12" s="7" t="s">
        <v>9</v>
      </c>
      <c r="C12" s="7" t="s">
        <v>10</v>
      </c>
      <c r="D12" s="7" t="s">
        <v>11</v>
      </c>
    </row>
    <row r="13" spans="2:4" x14ac:dyDescent="0.35">
      <c r="B13" s="7" t="s">
        <v>12</v>
      </c>
      <c r="C13" s="7" t="s">
        <v>13</v>
      </c>
      <c r="D13" s="7" t="s">
        <v>14</v>
      </c>
    </row>
    <row r="14" spans="2:4" x14ac:dyDescent="0.35">
      <c r="B14" s="7" t="s">
        <v>15</v>
      </c>
      <c r="C14" s="7" t="s">
        <v>16</v>
      </c>
      <c r="D14" s="7" t="s">
        <v>17</v>
      </c>
    </row>
    <row r="15" spans="2:4" x14ac:dyDescent="0.35">
      <c r="B15" s="7" t="s">
        <v>18</v>
      </c>
      <c r="C15" s="7" t="s">
        <v>19</v>
      </c>
      <c r="D15" s="7" t="s">
        <v>20</v>
      </c>
    </row>
    <row r="16" spans="2:4" x14ac:dyDescent="0.35">
      <c r="B16" s="7" t="s">
        <v>21</v>
      </c>
      <c r="C16" s="7" t="s">
        <v>22</v>
      </c>
      <c r="D16" s="7" t="s">
        <v>23</v>
      </c>
    </row>
    <row r="17" spans="2:4" x14ac:dyDescent="0.35">
      <c r="B17" s="7" t="s">
        <v>24</v>
      </c>
      <c r="C17" s="7" t="s">
        <v>25</v>
      </c>
      <c r="D17" s="7" t="s">
        <v>26</v>
      </c>
    </row>
    <row r="18" spans="2:4" x14ac:dyDescent="0.35">
      <c r="B18" s="7" t="s">
        <v>27</v>
      </c>
      <c r="C18" s="7" t="s">
        <v>28</v>
      </c>
      <c r="D18" s="7" t="s">
        <v>29</v>
      </c>
    </row>
    <row r="20" spans="2:4" ht="15" customHeight="1" x14ac:dyDescent="0.35">
      <c r="B20" s="50" t="s">
        <v>30</v>
      </c>
      <c r="C20" s="50"/>
      <c r="D20" s="50"/>
    </row>
    <row r="21" spans="2:4" x14ac:dyDescent="0.35">
      <c r="B21" s="50"/>
      <c r="C21" s="50"/>
      <c r="D21" s="50"/>
    </row>
    <row r="22" spans="2:4" x14ac:dyDescent="0.35">
      <c r="B22" s="50"/>
      <c r="C22" s="50"/>
      <c r="D22" s="50"/>
    </row>
  </sheetData>
  <mergeCells count="1">
    <mergeCell ref="B20:D22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49"/>
  <sheetViews>
    <sheetView zoomScaleNormal="100" workbookViewId="0">
      <pane ySplit="1" topLeftCell="A2" activePane="bottomLeft" state="frozen"/>
      <selection pane="bottomLeft" activeCell="L8" sqref="L8"/>
    </sheetView>
  </sheetViews>
  <sheetFormatPr defaultColWidth="8.6328125" defaultRowHeight="14.5" x14ac:dyDescent="0.35"/>
  <cols>
    <col min="1" max="1" width="12" customWidth="1"/>
    <col min="2" max="2" width="13" customWidth="1"/>
    <col min="3" max="3" width="10" customWidth="1"/>
    <col min="4" max="4" width="14.36328125" customWidth="1"/>
    <col min="5" max="6" width="13" customWidth="1"/>
    <col min="7" max="7" width="7" customWidth="1"/>
    <col min="8" max="8" width="17" customWidth="1"/>
    <col min="9" max="9" width="14" customWidth="1"/>
    <col min="10" max="10" width="11" customWidth="1"/>
  </cols>
  <sheetData>
    <row r="1" spans="1:10" x14ac:dyDescent="0.35">
      <c r="A1" s="22" t="s">
        <v>31</v>
      </c>
      <c r="B1" s="23" t="s">
        <v>32</v>
      </c>
      <c r="C1" s="23" t="s">
        <v>33</v>
      </c>
      <c r="D1" s="23" t="s">
        <v>34</v>
      </c>
      <c r="E1" s="23" t="s">
        <v>35</v>
      </c>
      <c r="F1" s="23" t="s">
        <v>36</v>
      </c>
      <c r="G1" s="23" t="s">
        <v>37</v>
      </c>
      <c r="H1" s="23" t="s">
        <v>38</v>
      </c>
      <c r="I1" s="23" t="s">
        <v>39</v>
      </c>
      <c r="J1" s="24" t="s">
        <v>40</v>
      </c>
    </row>
    <row r="2" spans="1:10" x14ac:dyDescent="0.35">
      <c r="A2" s="20" t="s">
        <v>41</v>
      </c>
      <c r="B2" s="9">
        <v>46035</v>
      </c>
      <c r="C2" s="7" t="s">
        <v>42</v>
      </c>
      <c r="D2" s="7" t="s">
        <v>43</v>
      </c>
      <c r="E2" s="7" t="s">
        <v>44</v>
      </c>
      <c r="F2" s="7" t="s">
        <v>45</v>
      </c>
      <c r="G2" s="7">
        <v>4</v>
      </c>
      <c r="H2" s="10">
        <v>55000</v>
      </c>
      <c r="I2" s="10">
        <f t="shared" ref="I2:I65" si="0">G2*H2</f>
        <v>220000</v>
      </c>
      <c r="J2" s="21" t="s">
        <v>46</v>
      </c>
    </row>
    <row r="3" spans="1:10" x14ac:dyDescent="0.35">
      <c r="A3" s="20" t="s">
        <v>47</v>
      </c>
      <c r="B3" s="9">
        <v>46067</v>
      </c>
      <c r="C3" s="7" t="s">
        <v>48</v>
      </c>
      <c r="D3" s="7" t="s">
        <v>49</v>
      </c>
      <c r="E3" s="7" t="s">
        <v>44</v>
      </c>
      <c r="F3" s="7" t="s">
        <v>45</v>
      </c>
      <c r="G3" s="7">
        <v>1</v>
      </c>
      <c r="H3" s="10">
        <v>55000</v>
      </c>
      <c r="I3" s="10">
        <f t="shared" si="0"/>
        <v>55000</v>
      </c>
      <c r="J3" s="21" t="s">
        <v>46</v>
      </c>
    </row>
    <row r="4" spans="1:10" x14ac:dyDescent="0.35">
      <c r="A4" s="20" t="s">
        <v>50</v>
      </c>
      <c r="B4" s="9">
        <v>46142</v>
      </c>
      <c r="C4" s="7" t="s">
        <v>51</v>
      </c>
      <c r="D4" s="7" t="s">
        <v>52</v>
      </c>
      <c r="E4" s="7" t="s">
        <v>53</v>
      </c>
      <c r="F4" s="7" t="s">
        <v>54</v>
      </c>
      <c r="G4" s="7">
        <v>4</v>
      </c>
      <c r="H4" s="10">
        <v>22000</v>
      </c>
      <c r="I4" s="10">
        <f t="shared" si="0"/>
        <v>88000</v>
      </c>
      <c r="J4" s="21" t="s">
        <v>55</v>
      </c>
    </row>
    <row r="5" spans="1:10" x14ac:dyDescent="0.35">
      <c r="A5" s="20" t="s">
        <v>56</v>
      </c>
      <c r="B5" s="9">
        <v>46135</v>
      </c>
      <c r="C5" s="7" t="s">
        <v>48</v>
      </c>
      <c r="D5" s="7" t="s">
        <v>52</v>
      </c>
      <c r="E5" s="7" t="s">
        <v>57</v>
      </c>
      <c r="F5" s="7" t="s">
        <v>58</v>
      </c>
      <c r="G5" s="7">
        <v>5</v>
      </c>
      <c r="H5" s="10">
        <v>2500</v>
      </c>
      <c r="I5" s="10">
        <f t="shared" si="0"/>
        <v>12500</v>
      </c>
      <c r="J5" s="21" t="s">
        <v>46</v>
      </c>
    </row>
    <row r="6" spans="1:10" x14ac:dyDescent="0.35">
      <c r="A6" s="20" t="s">
        <v>59</v>
      </c>
      <c r="B6" s="9">
        <v>46239</v>
      </c>
      <c r="C6" s="7" t="s">
        <v>42</v>
      </c>
      <c r="D6" s="7" t="s">
        <v>60</v>
      </c>
      <c r="E6" s="7" t="s">
        <v>53</v>
      </c>
      <c r="F6" s="7" t="s">
        <v>54</v>
      </c>
      <c r="G6" s="7">
        <v>3</v>
      </c>
      <c r="H6" s="10">
        <v>22000</v>
      </c>
      <c r="I6" s="10">
        <f t="shared" si="0"/>
        <v>66000</v>
      </c>
      <c r="J6" s="21" t="s">
        <v>46</v>
      </c>
    </row>
    <row r="7" spans="1:10" x14ac:dyDescent="0.35">
      <c r="A7" s="20" t="s">
        <v>61</v>
      </c>
      <c r="B7" s="9">
        <v>46075</v>
      </c>
      <c r="C7" s="7" t="s">
        <v>51</v>
      </c>
      <c r="D7" s="7" t="s">
        <v>62</v>
      </c>
      <c r="E7" s="7" t="s">
        <v>63</v>
      </c>
      <c r="F7" s="7" t="s">
        <v>54</v>
      </c>
      <c r="G7" s="7">
        <v>2</v>
      </c>
      <c r="H7" s="10">
        <v>18000</v>
      </c>
      <c r="I7" s="10">
        <f t="shared" si="0"/>
        <v>36000</v>
      </c>
      <c r="J7" s="21" t="s">
        <v>46</v>
      </c>
    </row>
    <row r="8" spans="1:10" x14ac:dyDescent="0.35">
      <c r="A8" s="20" t="s">
        <v>64</v>
      </c>
      <c r="B8" s="9">
        <v>46158</v>
      </c>
      <c r="C8" s="7" t="s">
        <v>51</v>
      </c>
      <c r="D8" s="7" t="s">
        <v>62</v>
      </c>
      <c r="E8" s="7" t="s">
        <v>63</v>
      </c>
      <c r="F8" s="7" t="s">
        <v>54</v>
      </c>
      <c r="G8" s="7">
        <v>9</v>
      </c>
      <c r="H8" s="10">
        <v>18000</v>
      </c>
      <c r="I8" s="10">
        <f t="shared" si="0"/>
        <v>162000</v>
      </c>
      <c r="J8" s="21" t="s">
        <v>46</v>
      </c>
    </row>
    <row r="9" spans="1:10" x14ac:dyDescent="0.35">
      <c r="A9" s="20" t="s">
        <v>65</v>
      </c>
      <c r="B9" s="9">
        <v>46063</v>
      </c>
      <c r="C9" s="7" t="s">
        <v>42</v>
      </c>
      <c r="D9" s="7" t="s">
        <v>52</v>
      </c>
      <c r="E9" s="7" t="s">
        <v>57</v>
      </c>
      <c r="F9" s="7" t="s">
        <v>58</v>
      </c>
      <c r="G9" s="7">
        <v>6</v>
      </c>
      <c r="H9" s="10">
        <v>2500</v>
      </c>
      <c r="I9" s="10">
        <f t="shared" si="0"/>
        <v>15000</v>
      </c>
      <c r="J9" s="21" t="s">
        <v>66</v>
      </c>
    </row>
    <row r="10" spans="1:10" x14ac:dyDescent="0.35">
      <c r="A10" s="20" t="s">
        <v>67</v>
      </c>
      <c r="B10" s="9">
        <v>46058</v>
      </c>
      <c r="C10" s="7" t="s">
        <v>51</v>
      </c>
      <c r="D10" s="7" t="s">
        <v>43</v>
      </c>
      <c r="E10" s="7" t="s">
        <v>53</v>
      </c>
      <c r="F10" s="7" t="s">
        <v>54</v>
      </c>
      <c r="G10" s="7">
        <v>5</v>
      </c>
      <c r="H10" s="10">
        <v>22000</v>
      </c>
      <c r="I10" s="10">
        <f t="shared" si="0"/>
        <v>110000</v>
      </c>
      <c r="J10" s="21" t="s">
        <v>46</v>
      </c>
    </row>
    <row r="11" spans="1:10" x14ac:dyDescent="0.35">
      <c r="A11" s="20" t="s">
        <v>68</v>
      </c>
      <c r="B11" s="9">
        <v>46074</v>
      </c>
      <c r="C11" s="7" t="s">
        <v>69</v>
      </c>
      <c r="D11" s="7" t="s">
        <v>60</v>
      </c>
      <c r="E11" s="7" t="s">
        <v>53</v>
      </c>
      <c r="F11" s="7" t="s">
        <v>54</v>
      </c>
      <c r="G11" s="7">
        <v>8</v>
      </c>
      <c r="H11" s="10">
        <v>22000</v>
      </c>
      <c r="I11" s="10">
        <f t="shared" si="0"/>
        <v>176000</v>
      </c>
      <c r="J11" s="21" t="s">
        <v>46</v>
      </c>
    </row>
    <row r="12" spans="1:10" x14ac:dyDescent="0.35">
      <c r="A12" s="20" t="s">
        <v>70</v>
      </c>
      <c r="B12" s="9">
        <v>46212</v>
      </c>
      <c r="C12" s="7" t="s">
        <v>42</v>
      </c>
      <c r="D12" s="7" t="s">
        <v>43</v>
      </c>
      <c r="E12" s="7" t="s">
        <v>53</v>
      </c>
      <c r="F12" s="7" t="s">
        <v>54</v>
      </c>
      <c r="G12" s="7">
        <v>5</v>
      </c>
      <c r="H12" s="10">
        <v>22000</v>
      </c>
      <c r="I12" s="10">
        <f t="shared" si="0"/>
        <v>110000</v>
      </c>
      <c r="J12" s="21" t="s">
        <v>46</v>
      </c>
    </row>
    <row r="13" spans="1:10" x14ac:dyDescent="0.35">
      <c r="A13" s="20" t="s">
        <v>71</v>
      </c>
      <c r="B13" s="9">
        <v>46110</v>
      </c>
      <c r="C13" s="7" t="s">
        <v>72</v>
      </c>
      <c r="D13" s="7" t="s">
        <v>43</v>
      </c>
      <c r="E13" s="7" t="s">
        <v>73</v>
      </c>
      <c r="F13" s="7" t="s">
        <v>45</v>
      </c>
      <c r="G13" s="7">
        <v>8</v>
      </c>
      <c r="H13" s="10">
        <v>12000</v>
      </c>
      <c r="I13" s="10">
        <f t="shared" si="0"/>
        <v>96000</v>
      </c>
      <c r="J13" s="21" t="s">
        <v>46</v>
      </c>
    </row>
    <row r="14" spans="1:10" x14ac:dyDescent="0.35">
      <c r="A14" s="20" t="s">
        <v>74</v>
      </c>
      <c r="B14" s="9">
        <v>46135</v>
      </c>
      <c r="C14" s="7" t="s">
        <v>42</v>
      </c>
      <c r="D14" s="7" t="s">
        <v>49</v>
      </c>
      <c r="E14" s="7" t="s">
        <v>63</v>
      </c>
      <c r="F14" s="7" t="s">
        <v>54</v>
      </c>
      <c r="G14" s="7">
        <v>4</v>
      </c>
      <c r="H14" s="10">
        <v>18000</v>
      </c>
      <c r="I14" s="10">
        <f t="shared" si="0"/>
        <v>72000</v>
      </c>
      <c r="J14" s="21" t="s">
        <v>46</v>
      </c>
    </row>
    <row r="15" spans="1:10" x14ac:dyDescent="0.35">
      <c r="A15" s="20" t="s">
        <v>75</v>
      </c>
      <c r="B15" s="9">
        <v>46228</v>
      </c>
      <c r="C15" s="7" t="s">
        <v>42</v>
      </c>
      <c r="D15" s="7" t="s">
        <v>49</v>
      </c>
      <c r="E15" s="7" t="s">
        <v>63</v>
      </c>
      <c r="F15" s="7" t="s">
        <v>54</v>
      </c>
      <c r="G15" s="7">
        <v>4</v>
      </c>
      <c r="H15" s="10">
        <v>18000</v>
      </c>
      <c r="I15" s="10">
        <f t="shared" si="0"/>
        <v>72000</v>
      </c>
      <c r="J15" s="21" t="s">
        <v>66</v>
      </c>
    </row>
    <row r="16" spans="1:10" x14ac:dyDescent="0.35">
      <c r="A16" s="20" t="s">
        <v>76</v>
      </c>
      <c r="B16" s="9">
        <v>46131</v>
      </c>
      <c r="C16" s="7" t="s">
        <v>69</v>
      </c>
      <c r="D16" s="7" t="s">
        <v>62</v>
      </c>
      <c r="E16" s="7" t="s">
        <v>63</v>
      </c>
      <c r="F16" s="7" t="s">
        <v>54</v>
      </c>
      <c r="G16" s="7">
        <v>8</v>
      </c>
      <c r="H16" s="10">
        <v>18000</v>
      </c>
      <c r="I16" s="10">
        <f t="shared" si="0"/>
        <v>144000</v>
      </c>
      <c r="J16" s="21" t="s">
        <v>46</v>
      </c>
    </row>
    <row r="17" spans="1:10" x14ac:dyDescent="0.35">
      <c r="A17" s="20" t="s">
        <v>77</v>
      </c>
      <c r="B17" s="9">
        <v>46094</v>
      </c>
      <c r="C17" s="7" t="s">
        <v>72</v>
      </c>
      <c r="D17" s="7" t="s">
        <v>52</v>
      </c>
      <c r="E17" s="7" t="s">
        <v>63</v>
      </c>
      <c r="F17" s="7" t="s">
        <v>54</v>
      </c>
      <c r="G17" s="7">
        <v>9</v>
      </c>
      <c r="H17" s="10">
        <v>18000</v>
      </c>
      <c r="I17" s="10">
        <f t="shared" si="0"/>
        <v>162000</v>
      </c>
      <c r="J17" s="21" t="s">
        <v>46</v>
      </c>
    </row>
    <row r="18" spans="1:10" x14ac:dyDescent="0.35">
      <c r="A18" s="20" t="s">
        <v>78</v>
      </c>
      <c r="B18" s="9">
        <v>46242</v>
      </c>
      <c r="C18" s="7" t="s">
        <v>48</v>
      </c>
      <c r="D18" s="7" t="s">
        <v>60</v>
      </c>
      <c r="E18" s="7" t="s">
        <v>73</v>
      </c>
      <c r="F18" s="7" t="s">
        <v>45</v>
      </c>
      <c r="G18" s="7">
        <v>4</v>
      </c>
      <c r="H18" s="10">
        <v>12000</v>
      </c>
      <c r="I18" s="10">
        <f t="shared" si="0"/>
        <v>48000</v>
      </c>
      <c r="J18" s="21" t="s">
        <v>46</v>
      </c>
    </row>
    <row r="19" spans="1:10" x14ac:dyDescent="0.35">
      <c r="A19" s="20" t="s">
        <v>79</v>
      </c>
      <c r="B19" s="9">
        <v>46275</v>
      </c>
      <c r="C19" s="7" t="s">
        <v>51</v>
      </c>
      <c r="D19" s="7" t="s">
        <v>49</v>
      </c>
      <c r="E19" s="7" t="s">
        <v>73</v>
      </c>
      <c r="F19" s="7" t="s">
        <v>45</v>
      </c>
      <c r="G19" s="7">
        <v>2</v>
      </c>
      <c r="H19" s="10">
        <v>12000</v>
      </c>
      <c r="I19" s="10">
        <f t="shared" si="0"/>
        <v>24000</v>
      </c>
      <c r="J19" s="21" t="s">
        <v>46</v>
      </c>
    </row>
    <row r="20" spans="1:10" x14ac:dyDescent="0.35">
      <c r="A20" s="20" t="s">
        <v>80</v>
      </c>
      <c r="B20" s="9">
        <v>46239</v>
      </c>
      <c r="C20" s="7" t="s">
        <v>81</v>
      </c>
      <c r="D20" s="7" t="s">
        <v>62</v>
      </c>
      <c r="E20" s="7" t="s">
        <v>53</v>
      </c>
      <c r="F20" s="7" t="s">
        <v>54</v>
      </c>
      <c r="G20" s="7">
        <v>7</v>
      </c>
      <c r="H20" s="10">
        <v>22000</v>
      </c>
      <c r="I20" s="10">
        <f t="shared" si="0"/>
        <v>154000</v>
      </c>
      <c r="J20" s="21" t="s">
        <v>66</v>
      </c>
    </row>
    <row r="21" spans="1:10" x14ac:dyDescent="0.35">
      <c r="A21" s="20" t="s">
        <v>82</v>
      </c>
      <c r="B21" s="9">
        <v>46293</v>
      </c>
      <c r="C21" s="7" t="s">
        <v>83</v>
      </c>
      <c r="D21" s="7" t="s">
        <v>52</v>
      </c>
      <c r="E21" s="7" t="s">
        <v>57</v>
      </c>
      <c r="F21" s="7" t="s">
        <v>58</v>
      </c>
      <c r="G21" s="7">
        <v>1</v>
      </c>
      <c r="H21" s="10">
        <v>2500</v>
      </c>
      <c r="I21" s="10">
        <f t="shared" si="0"/>
        <v>2500</v>
      </c>
      <c r="J21" s="21" t="s">
        <v>46</v>
      </c>
    </row>
    <row r="22" spans="1:10" x14ac:dyDescent="0.35">
      <c r="A22" s="20" t="s">
        <v>84</v>
      </c>
      <c r="B22" s="9">
        <v>46159</v>
      </c>
      <c r="C22" s="7" t="s">
        <v>42</v>
      </c>
      <c r="D22" s="7" t="s">
        <v>49</v>
      </c>
      <c r="E22" s="7" t="s">
        <v>73</v>
      </c>
      <c r="F22" s="7" t="s">
        <v>45</v>
      </c>
      <c r="G22" s="7">
        <v>5</v>
      </c>
      <c r="H22" s="10">
        <v>12000</v>
      </c>
      <c r="I22" s="10">
        <f t="shared" si="0"/>
        <v>60000</v>
      </c>
      <c r="J22" s="21" t="s">
        <v>46</v>
      </c>
    </row>
    <row r="23" spans="1:10" x14ac:dyDescent="0.35">
      <c r="A23" s="20" t="s">
        <v>85</v>
      </c>
      <c r="B23" s="9">
        <v>46255</v>
      </c>
      <c r="C23" s="7" t="s">
        <v>51</v>
      </c>
      <c r="D23" s="7" t="s">
        <v>60</v>
      </c>
      <c r="E23" s="7" t="s">
        <v>53</v>
      </c>
      <c r="F23" s="7" t="s">
        <v>54</v>
      </c>
      <c r="G23" s="7">
        <v>9</v>
      </c>
      <c r="H23" s="10">
        <v>22000</v>
      </c>
      <c r="I23" s="10">
        <f t="shared" si="0"/>
        <v>198000</v>
      </c>
      <c r="J23" s="21" t="s">
        <v>46</v>
      </c>
    </row>
    <row r="24" spans="1:10" x14ac:dyDescent="0.35">
      <c r="A24" s="20" t="s">
        <v>86</v>
      </c>
      <c r="B24" s="9">
        <v>46077</v>
      </c>
      <c r="C24" s="7" t="s">
        <v>42</v>
      </c>
      <c r="D24" s="7" t="s">
        <v>52</v>
      </c>
      <c r="E24" s="7" t="s">
        <v>73</v>
      </c>
      <c r="F24" s="7" t="s">
        <v>45</v>
      </c>
      <c r="G24" s="7">
        <v>10</v>
      </c>
      <c r="H24" s="10">
        <v>12000</v>
      </c>
      <c r="I24" s="10">
        <f t="shared" si="0"/>
        <v>120000</v>
      </c>
      <c r="J24" s="21" t="s">
        <v>46</v>
      </c>
    </row>
    <row r="25" spans="1:10" x14ac:dyDescent="0.35">
      <c r="A25" s="20" t="s">
        <v>87</v>
      </c>
      <c r="B25" s="9">
        <v>46214</v>
      </c>
      <c r="C25" s="7" t="s">
        <v>88</v>
      </c>
      <c r="D25" s="7" t="s">
        <v>52</v>
      </c>
      <c r="E25" s="7" t="s">
        <v>53</v>
      </c>
      <c r="F25" s="7" t="s">
        <v>54</v>
      </c>
      <c r="G25" s="7">
        <v>9</v>
      </c>
      <c r="H25" s="10">
        <v>22000</v>
      </c>
      <c r="I25" s="10">
        <f t="shared" si="0"/>
        <v>198000</v>
      </c>
      <c r="J25" s="21" t="s">
        <v>46</v>
      </c>
    </row>
    <row r="26" spans="1:10" x14ac:dyDescent="0.35">
      <c r="A26" s="20" t="s">
        <v>89</v>
      </c>
      <c r="B26" s="9">
        <v>46188</v>
      </c>
      <c r="C26" s="7" t="s">
        <v>48</v>
      </c>
      <c r="D26" s="7" t="s">
        <v>49</v>
      </c>
      <c r="E26" s="7" t="s">
        <v>73</v>
      </c>
      <c r="F26" s="7" t="s">
        <v>45</v>
      </c>
      <c r="G26" s="7">
        <v>2</v>
      </c>
      <c r="H26" s="10">
        <v>12000</v>
      </c>
      <c r="I26" s="10">
        <f t="shared" si="0"/>
        <v>24000</v>
      </c>
      <c r="J26" s="21" t="s">
        <v>46</v>
      </c>
    </row>
    <row r="27" spans="1:10" x14ac:dyDescent="0.35">
      <c r="A27" s="20" t="s">
        <v>90</v>
      </c>
      <c r="B27" s="9">
        <v>46145</v>
      </c>
      <c r="C27" s="7" t="s">
        <v>51</v>
      </c>
      <c r="D27" s="7" t="s">
        <v>43</v>
      </c>
      <c r="E27" s="7" t="s">
        <v>63</v>
      </c>
      <c r="F27" s="7" t="s">
        <v>54</v>
      </c>
      <c r="G27" s="7">
        <v>10</v>
      </c>
      <c r="H27" s="10">
        <v>18000</v>
      </c>
      <c r="I27" s="10">
        <f t="shared" si="0"/>
        <v>180000</v>
      </c>
      <c r="J27" s="21" t="s">
        <v>46</v>
      </c>
    </row>
    <row r="28" spans="1:10" x14ac:dyDescent="0.35">
      <c r="A28" s="20" t="s">
        <v>91</v>
      </c>
      <c r="B28" s="9">
        <v>46271</v>
      </c>
      <c r="C28" s="7" t="s">
        <v>51</v>
      </c>
      <c r="D28" s="7" t="s">
        <v>52</v>
      </c>
      <c r="E28" s="7" t="s">
        <v>44</v>
      </c>
      <c r="F28" s="7" t="s">
        <v>45</v>
      </c>
      <c r="G28" s="7">
        <v>3</v>
      </c>
      <c r="H28" s="10">
        <v>55000</v>
      </c>
      <c r="I28" s="10">
        <f t="shared" si="0"/>
        <v>165000</v>
      </c>
      <c r="J28" s="21" t="s">
        <v>46</v>
      </c>
    </row>
    <row r="29" spans="1:10" x14ac:dyDescent="0.35">
      <c r="A29" s="20" t="s">
        <v>92</v>
      </c>
      <c r="B29" s="9">
        <v>46107</v>
      </c>
      <c r="C29" s="7" t="s">
        <v>42</v>
      </c>
      <c r="D29" s="7" t="s">
        <v>52</v>
      </c>
      <c r="E29" s="7" t="s">
        <v>57</v>
      </c>
      <c r="F29" s="7" t="s">
        <v>58</v>
      </c>
      <c r="G29" s="7">
        <v>10</v>
      </c>
      <c r="H29" s="10">
        <v>2500</v>
      </c>
      <c r="I29" s="10">
        <f t="shared" si="0"/>
        <v>25000</v>
      </c>
      <c r="J29" s="21" t="s">
        <v>46</v>
      </c>
    </row>
    <row r="30" spans="1:10" x14ac:dyDescent="0.35">
      <c r="A30" s="20" t="s">
        <v>93</v>
      </c>
      <c r="B30" s="9">
        <v>46125</v>
      </c>
      <c r="C30" s="7" t="s">
        <v>42</v>
      </c>
      <c r="D30" s="7" t="s">
        <v>62</v>
      </c>
      <c r="E30" s="7" t="s">
        <v>53</v>
      </c>
      <c r="F30" s="7" t="s">
        <v>54</v>
      </c>
      <c r="G30" s="7">
        <v>6</v>
      </c>
      <c r="H30" s="10">
        <v>22000</v>
      </c>
      <c r="I30" s="10">
        <f t="shared" si="0"/>
        <v>132000</v>
      </c>
      <c r="J30" s="21" t="s">
        <v>55</v>
      </c>
    </row>
    <row r="31" spans="1:10" x14ac:dyDescent="0.35">
      <c r="A31" s="20" t="s">
        <v>94</v>
      </c>
      <c r="B31" s="9">
        <v>46254</v>
      </c>
      <c r="C31" s="7" t="s">
        <v>51</v>
      </c>
      <c r="D31" s="7" t="s">
        <v>43</v>
      </c>
      <c r="E31" s="7" t="s">
        <v>73</v>
      </c>
      <c r="F31" s="7" t="s">
        <v>45</v>
      </c>
      <c r="G31" s="7">
        <v>4</v>
      </c>
      <c r="H31" s="10">
        <v>12000</v>
      </c>
      <c r="I31" s="10">
        <f t="shared" si="0"/>
        <v>48000</v>
      </c>
      <c r="J31" s="21" t="s">
        <v>46</v>
      </c>
    </row>
    <row r="32" spans="1:10" x14ac:dyDescent="0.35">
      <c r="A32" s="20" t="s">
        <v>95</v>
      </c>
      <c r="B32" s="9">
        <v>46033</v>
      </c>
      <c r="C32" s="7" t="s">
        <v>72</v>
      </c>
      <c r="D32" s="7" t="s">
        <v>52</v>
      </c>
      <c r="E32" s="7" t="s">
        <v>63</v>
      </c>
      <c r="F32" s="7" t="s">
        <v>54</v>
      </c>
      <c r="G32" s="7">
        <v>4</v>
      </c>
      <c r="H32" s="10">
        <v>18000</v>
      </c>
      <c r="I32" s="10">
        <f t="shared" si="0"/>
        <v>72000</v>
      </c>
      <c r="J32" s="21" t="s">
        <v>46</v>
      </c>
    </row>
    <row r="33" spans="1:10" x14ac:dyDescent="0.35">
      <c r="A33" s="20" t="s">
        <v>96</v>
      </c>
      <c r="B33" s="9">
        <v>46053</v>
      </c>
      <c r="C33" s="7" t="s">
        <v>72</v>
      </c>
      <c r="D33" s="7" t="s">
        <v>49</v>
      </c>
      <c r="E33" s="7" t="s">
        <v>44</v>
      </c>
      <c r="F33" s="7" t="s">
        <v>45</v>
      </c>
      <c r="G33" s="7">
        <v>1</v>
      </c>
      <c r="H33" s="10">
        <v>55000</v>
      </c>
      <c r="I33" s="10">
        <f t="shared" si="0"/>
        <v>55000</v>
      </c>
      <c r="J33" s="21" t="s">
        <v>46</v>
      </c>
    </row>
    <row r="34" spans="1:10" x14ac:dyDescent="0.35">
      <c r="A34" s="20" t="s">
        <v>97</v>
      </c>
      <c r="B34" s="9">
        <v>46286</v>
      </c>
      <c r="C34" s="7" t="s">
        <v>72</v>
      </c>
      <c r="D34" s="7" t="s">
        <v>60</v>
      </c>
      <c r="E34" s="7" t="s">
        <v>44</v>
      </c>
      <c r="F34" s="7" t="s">
        <v>45</v>
      </c>
      <c r="G34" s="7">
        <v>8</v>
      </c>
      <c r="H34" s="10">
        <v>55000</v>
      </c>
      <c r="I34" s="10">
        <f t="shared" si="0"/>
        <v>440000</v>
      </c>
      <c r="J34" s="21" t="s">
        <v>46</v>
      </c>
    </row>
    <row r="35" spans="1:10" x14ac:dyDescent="0.35">
      <c r="A35" s="20" t="s">
        <v>98</v>
      </c>
      <c r="B35" s="9">
        <v>46090</v>
      </c>
      <c r="C35" s="7" t="s">
        <v>48</v>
      </c>
      <c r="D35" s="7" t="s">
        <v>43</v>
      </c>
      <c r="E35" s="7" t="s">
        <v>73</v>
      </c>
      <c r="F35" s="7" t="s">
        <v>45</v>
      </c>
      <c r="G35" s="7">
        <v>8</v>
      </c>
      <c r="H35" s="10">
        <v>12000</v>
      </c>
      <c r="I35" s="10">
        <f t="shared" si="0"/>
        <v>96000</v>
      </c>
      <c r="J35" s="21" t="s">
        <v>46</v>
      </c>
    </row>
    <row r="36" spans="1:10" x14ac:dyDescent="0.35">
      <c r="A36" s="20" t="s">
        <v>99</v>
      </c>
      <c r="B36" s="9">
        <v>46071</v>
      </c>
      <c r="C36" s="7" t="s">
        <v>51</v>
      </c>
      <c r="D36" s="7" t="s">
        <v>62</v>
      </c>
      <c r="E36" s="7" t="s">
        <v>53</v>
      </c>
      <c r="F36" s="7" t="s">
        <v>54</v>
      </c>
      <c r="G36" s="7">
        <v>6</v>
      </c>
      <c r="H36" s="10">
        <v>22000</v>
      </c>
      <c r="I36" s="10">
        <f t="shared" si="0"/>
        <v>132000</v>
      </c>
      <c r="J36" s="21" t="s">
        <v>46</v>
      </c>
    </row>
    <row r="37" spans="1:10" x14ac:dyDescent="0.35">
      <c r="A37" s="20" t="s">
        <v>100</v>
      </c>
      <c r="B37" s="9">
        <v>46262</v>
      </c>
      <c r="C37" s="7" t="s">
        <v>51</v>
      </c>
      <c r="D37" s="7" t="s">
        <v>49</v>
      </c>
      <c r="E37" s="7" t="s">
        <v>57</v>
      </c>
      <c r="F37" s="7" t="s">
        <v>58</v>
      </c>
      <c r="G37" s="7">
        <v>1</v>
      </c>
      <c r="H37" s="10">
        <v>2500</v>
      </c>
      <c r="I37" s="10">
        <f t="shared" si="0"/>
        <v>2500</v>
      </c>
      <c r="J37" s="21" t="s">
        <v>46</v>
      </c>
    </row>
    <row r="38" spans="1:10" x14ac:dyDescent="0.35">
      <c r="A38" s="20" t="s">
        <v>101</v>
      </c>
      <c r="B38" s="9">
        <v>46078</v>
      </c>
      <c r="C38" s="7" t="s">
        <v>72</v>
      </c>
      <c r="D38" s="7" t="s">
        <v>43</v>
      </c>
      <c r="E38" s="7" t="s">
        <v>63</v>
      </c>
      <c r="F38" s="7" t="s">
        <v>54</v>
      </c>
      <c r="G38" s="7">
        <v>4</v>
      </c>
      <c r="H38" s="10">
        <v>18000</v>
      </c>
      <c r="I38" s="10">
        <f t="shared" si="0"/>
        <v>72000</v>
      </c>
      <c r="J38" s="21" t="s">
        <v>55</v>
      </c>
    </row>
    <row r="39" spans="1:10" x14ac:dyDescent="0.35">
      <c r="A39" s="20" t="s">
        <v>102</v>
      </c>
      <c r="B39" s="9">
        <v>46094</v>
      </c>
      <c r="C39" s="7" t="s">
        <v>48</v>
      </c>
      <c r="D39" s="7" t="s">
        <v>43</v>
      </c>
      <c r="E39" s="7" t="s">
        <v>57</v>
      </c>
      <c r="F39" s="7" t="s">
        <v>58</v>
      </c>
      <c r="G39" s="7">
        <v>5</v>
      </c>
      <c r="H39" s="10">
        <v>2500</v>
      </c>
      <c r="I39" s="10">
        <f t="shared" si="0"/>
        <v>12500</v>
      </c>
      <c r="J39" s="21" t="s">
        <v>55</v>
      </c>
    </row>
    <row r="40" spans="1:10" x14ac:dyDescent="0.35">
      <c r="A40" s="20" t="s">
        <v>103</v>
      </c>
      <c r="B40" s="9">
        <v>46061</v>
      </c>
      <c r="C40" s="7" t="s">
        <v>48</v>
      </c>
      <c r="D40" s="7" t="s">
        <v>52</v>
      </c>
      <c r="E40" s="7" t="s">
        <v>53</v>
      </c>
      <c r="F40" s="7" t="s">
        <v>54</v>
      </c>
      <c r="G40" s="7">
        <v>2</v>
      </c>
      <c r="H40" s="10">
        <v>22000</v>
      </c>
      <c r="I40" s="10">
        <f t="shared" si="0"/>
        <v>44000</v>
      </c>
      <c r="J40" s="21" t="s">
        <v>46</v>
      </c>
    </row>
    <row r="41" spans="1:10" x14ac:dyDescent="0.35">
      <c r="A41" s="20" t="s">
        <v>104</v>
      </c>
      <c r="B41" s="9">
        <v>46030</v>
      </c>
      <c r="C41" s="7" t="s">
        <v>51</v>
      </c>
      <c r="D41" s="7" t="s">
        <v>43</v>
      </c>
      <c r="E41" s="7" t="s">
        <v>73</v>
      </c>
      <c r="F41" s="7" t="s">
        <v>45</v>
      </c>
      <c r="G41" s="7">
        <v>3</v>
      </c>
      <c r="H41" s="10">
        <v>12000</v>
      </c>
      <c r="I41" s="10">
        <f t="shared" si="0"/>
        <v>36000</v>
      </c>
      <c r="J41" s="21" t="s">
        <v>46</v>
      </c>
    </row>
    <row r="42" spans="1:10" x14ac:dyDescent="0.35">
      <c r="A42" s="20" t="s">
        <v>105</v>
      </c>
      <c r="B42" s="9">
        <v>46269</v>
      </c>
      <c r="C42" s="7" t="s">
        <v>72</v>
      </c>
      <c r="D42" s="7" t="s">
        <v>62</v>
      </c>
      <c r="E42" s="7" t="s">
        <v>57</v>
      </c>
      <c r="F42" s="7" t="s">
        <v>58</v>
      </c>
      <c r="G42" s="7">
        <v>1</v>
      </c>
      <c r="H42" s="10">
        <v>2500</v>
      </c>
      <c r="I42" s="10">
        <f t="shared" si="0"/>
        <v>2500</v>
      </c>
      <c r="J42" s="21" t="s">
        <v>46</v>
      </c>
    </row>
    <row r="43" spans="1:10" x14ac:dyDescent="0.35">
      <c r="A43" s="20" t="s">
        <v>106</v>
      </c>
      <c r="B43" s="9">
        <v>46024</v>
      </c>
      <c r="C43" s="7" t="s">
        <v>48</v>
      </c>
      <c r="D43" s="7" t="s">
        <v>60</v>
      </c>
      <c r="E43" s="7" t="s">
        <v>57</v>
      </c>
      <c r="F43" s="7" t="s">
        <v>58</v>
      </c>
      <c r="G43" s="7">
        <v>8</v>
      </c>
      <c r="H43" s="10">
        <v>2500</v>
      </c>
      <c r="I43" s="10">
        <f t="shared" si="0"/>
        <v>20000</v>
      </c>
      <c r="J43" s="21" t="s">
        <v>46</v>
      </c>
    </row>
    <row r="44" spans="1:10" x14ac:dyDescent="0.35">
      <c r="A44" s="20" t="s">
        <v>107</v>
      </c>
      <c r="B44" s="9">
        <v>46272</v>
      </c>
      <c r="C44" s="7" t="s">
        <v>72</v>
      </c>
      <c r="D44" s="7" t="s">
        <v>43</v>
      </c>
      <c r="E44" s="7" t="s">
        <v>57</v>
      </c>
      <c r="F44" s="7" t="s">
        <v>58</v>
      </c>
      <c r="G44" s="7">
        <v>5</v>
      </c>
      <c r="H44" s="10">
        <v>2500</v>
      </c>
      <c r="I44" s="10">
        <f t="shared" si="0"/>
        <v>12500</v>
      </c>
      <c r="J44" s="21" t="s">
        <v>46</v>
      </c>
    </row>
    <row r="45" spans="1:10" x14ac:dyDescent="0.35">
      <c r="A45" s="20" t="s">
        <v>108</v>
      </c>
      <c r="B45" s="9">
        <v>46054</v>
      </c>
      <c r="C45" s="7" t="s">
        <v>42</v>
      </c>
      <c r="D45" s="7" t="s">
        <v>49</v>
      </c>
      <c r="E45" s="7" t="s">
        <v>44</v>
      </c>
      <c r="F45" s="7" t="s">
        <v>45</v>
      </c>
      <c r="G45" s="7">
        <v>1</v>
      </c>
      <c r="H45" s="10">
        <v>55000</v>
      </c>
      <c r="I45" s="10">
        <f t="shared" si="0"/>
        <v>55000</v>
      </c>
      <c r="J45" s="21" t="s">
        <v>66</v>
      </c>
    </row>
    <row r="46" spans="1:10" x14ac:dyDescent="0.35">
      <c r="A46" s="20" t="s">
        <v>109</v>
      </c>
      <c r="B46" s="9">
        <v>46280</v>
      </c>
      <c r="C46" s="7" t="s">
        <v>72</v>
      </c>
      <c r="D46" s="7" t="s">
        <v>49</v>
      </c>
      <c r="E46" s="7" t="s">
        <v>57</v>
      </c>
      <c r="F46" s="7" t="s">
        <v>58</v>
      </c>
      <c r="G46" s="7">
        <v>9</v>
      </c>
      <c r="H46" s="10">
        <v>2500</v>
      </c>
      <c r="I46" s="10">
        <f t="shared" si="0"/>
        <v>22500</v>
      </c>
      <c r="J46" s="21" t="s">
        <v>46</v>
      </c>
    </row>
    <row r="47" spans="1:10" x14ac:dyDescent="0.35">
      <c r="A47" s="20" t="s">
        <v>110</v>
      </c>
      <c r="B47" s="9">
        <v>46058</v>
      </c>
      <c r="C47" s="7" t="s">
        <v>51</v>
      </c>
      <c r="D47" s="7" t="s">
        <v>43</v>
      </c>
      <c r="E47" s="7" t="s">
        <v>53</v>
      </c>
      <c r="F47" s="7" t="s">
        <v>54</v>
      </c>
      <c r="G47" s="7">
        <v>7</v>
      </c>
      <c r="H47" s="10">
        <v>22000</v>
      </c>
      <c r="I47" s="10">
        <f t="shared" si="0"/>
        <v>154000</v>
      </c>
      <c r="J47" s="21" t="s">
        <v>46</v>
      </c>
    </row>
    <row r="48" spans="1:10" x14ac:dyDescent="0.35">
      <c r="A48" s="20" t="s">
        <v>111</v>
      </c>
      <c r="B48" s="9">
        <v>46149</v>
      </c>
      <c r="C48" s="7" t="s">
        <v>51</v>
      </c>
      <c r="D48" s="7" t="s">
        <v>52</v>
      </c>
      <c r="E48" s="7" t="s">
        <v>73</v>
      </c>
      <c r="F48" s="7" t="s">
        <v>45</v>
      </c>
      <c r="G48" s="7">
        <v>2</v>
      </c>
      <c r="H48" s="10">
        <v>12000</v>
      </c>
      <c r="I48" s="10">
        <f t="shared" si="0"/>
        <v>24000</v>
      </c>
      <c r="J48" s="21" t="s">
        <v>46</v>
      </c>
    </row>
    <row r="49" spans="1:10" x14ac:dyDescent="0.35">
      <c r="A49" s="20" t="s">
        <v>112</v>
      </c>
      <c r="B49" s="9">
        <v>46290</v>
      </c>
      <c r="C49" s="7" t="s">
        <v>42</v>
      </c>
      <c r="D49" s="7" t="s">
        <v>60</v>
      </c>
      <c r="E49" s="7" t="s">
        <v>73</v>
      </c>
      <c r="F49" s="7" t="s">
        <v>45</v>
      </c>
      <c r="G49" s="7">
        <v>4</v>
      </c>
      <c r="H49" s="10">
        <v>12000</v>
      </c>
      <c r="I49" s="10">
        <f t="shared" si="0"/>
        <v>48000</v>
      </c>
      <c r="J49" s="21" t="s">
        <v>46</v>
      </c>
    </row>
    <row r="50" spans="1:10" x14ac:dyDescent="0.35">
      <c r="A50" s="20" t="s">
        <v>113</v>
      </c>
      <c r="B50" s="9">
        <v>46158</v>
      </c>
      <c r="C50" s="7" t="s">
        <v>48</v>
      </c>
      <c r="D50" s="7" t="s">
        <v>43</v>
      </c>
      <c r="E50" s="7" t="s">
        <v>53</v>
      </c>
      <c r="F50" s="7" t="s">
        <v>54</v>
      </c>
      <c r="G50" s="7">
        <v>5</v>
      </c>
      <c r="H50" s="10">
        <v>22000</v>
      </c>
      <c r="I50" s="10">
        <f t="shared" si="0"/>
        <v>110000</v>
      </c>
      <c r="J50" s="21" t="s">
        <v>55</v>
      </c>
    </row>
    <row r="51" spans="1:10" x14ac:dyDescent="0.35">
      <c r="A51" s="20" t="s">
        <v>114</v>
      </c>
      <c r="B51" s="9">
        <v>46060</v>
      </c>
      <c r="C51" s="7" t="s">
        <v>51</v>
      </c>
      <c r="D51" s="7" t="s">
        <v>62</v>
      </c>
      <c r="E51" s="7" t="s">
        <v>63</v>
      </c>
      <c r="F51" s="7" t="s">
        <v>54</v>
      </c>
      <c r="G51" s="7">
        <v>10</v>
      </c>
      <c r="H51" s="10">
        <v>18000</v>
      </c>
      <c r="I51" s="10">
        <f t="shared" si="0"/>
        <v>180000</v>
      </c>
      <c r="J51" s="21" t="s">
        <v>66</v>
      </c>
    </row>
    <row r="52" spans="1:10" x14ac:dyDescent="0.35">
      <c r="A52" s="20" t="s">
        <v>115</v>
      </c>
      <c r="B52" s="9">
        <v>46060</v>
      </c>
      <c r="C52" s="7" t="s">
        <v>72</v>
      </c>
      <c r="D52" s="7" t="s">
        <v>52</v>
      </c>
      <c r="E52" s="7" t="s">
        <v>44</v>
      </c>
      <c r="F52" s="7" t="s">
        <v>45</v>
      </c>
      <c r="G52" s="7">
        <v>5</v>
      </c>
      <c r="H52" s="10">
        <v>55000</v>
      </c>
      <c r="I52" s="10">
        <f t="shared" si="0"/>
        <v>275000</v>
      </c>
      <c r="J52" s="21" t="s">
        <v>46</v>
      </c>
    </row>
    <row r="53" spans="1:10" x14ac:dyDescent="0.35">
      <c r="A53" s="20" t="s">
        <v>116</v>
      </c>
      <c r="B53" s="9">
        <v>46058</v>
      </c>
      <c r="C53" s="7" t="s">
        <v>72</v>
      </c>
      <c r="D53" s="7" t="s">
        <v>60</v>
      </c>
      <c r="E53" s="7" t="s">
        <v>63</v>
      </c>
      <c r="F53" s="7" t="s">
        <v>54</v>
      </c>
      <c r="G53" s="7">
        <v>5</v>
      </c>
      <c r="H53" s="10">
        <v>18000</v>
      </c>
      <c r="I53" s="10">
        <f t="shared" si="0"/>
        <v>90000</v>
      </c>
      <c r="J53" s="21" t="s">
        <v>46</v>
      </c>
    </row>
    <row r="54" spans="1:10" x14ac:dyDescent="0.35">
      <c r="A54" s="20" t="s">
        <v>117</v>
      </c>
      <c r="B54" s="9">
        <v>46177</v>
      </c>
      <c r="C54" s="7" t="s">
        <v>51</v>
      </c>
      <c r="D54" s="7" t="s">
        <v>52</v>
      </c>
      <c r="E54" s="7" t="s">
        <v>57</v>
      </c>
      <c r="F54" s="7" t="s">
        <v>58</v>
      </c>
      <c r="G54" s="7">
        <v>5</v>
      </c>
      <c r="H54" s="10">
        <v>2500</v>
      </c>
      <c r="I54" s="10">
        <f t="shared" si="0"/>
        <v>12500</v>
      </c>
      <c r="J54" s="21" t="s">
        <v>46</v>
      </c>
    </row>
    <row r="55" spans="1:10" x14ac:dyDescent="0.35">
      <c r="A55" s="20" t="s">
        <v>118</v>
      </c>
      <c r="B55" s="9">
        <v>46158</v>
      </c>
      <c r="C55" s="7" t="s">
        <v>51</v>
      </c>
      <c r="D55" s="7" t="s">
        <v>49</v>
      </c>
      <c r="E55" s="7" t="s">
        <v>53</v>
      </c>
      <c r="F55" s="7" t="s">
        <v>54</v>
      </c>
      <c r="G55" s="7">
        <v>9</v>
      </c>
      <c r="H55" s="10">
        <v>22000</v>
      </c>
      <c r="I55" s="10">
        <f t="shared" si="0"/>
        <v>198000</v>
      </c>
      <c r="J55" s="21" t="s">
        <v>46</v>
      </c>
    </row>
    <row r="56" spans="1:10" x14ac:dyDescent="0.35">
      <c r="A56" s="20" t="s">
        <v>119</v>
      </c>
      <c r="B56" s="9">
        <v>46167</v>
      </c>
      <c r="C56" s="7" t="s">
        <v>72</v>
      </c>
      <c r="D56" s="7" t="s">
        <v>60</v>
      </c>
      <c r="E56" s="7" t="s">
        <v>63</v>
      </c>
      <c r="F56" s="7" t="s">
        <v>54</v>
      </c>
      <c r="G56" s="7">
        <v>4</v>
      </c>
      <c r="H56" s="10">
        <v>18000</v>
      </c>
      <c r="I56" s="10">
        <f t="shared" si="0"/>
        <v>72000</v>
      </c>
      <c r="J56" s="21" t="s">
        <v>46</v>
      </c>
    </row>
    <row r="57" spans="1:10" x14ac:dyDescent="0.35">
      <c r="A57" s="20" t="s">
        <v>120</v>
      </c>
      <c r="B57" s="9">
        <v>46273</v>
      </c>
      <c r="C57" s="7" t="s">
        <v>42</v>
      </c>
      <c r="D57" s="7" t="s">
        <v>49</v>
      </c>
      <c r="E57" s="7" t="s">
        <v>73</v>
      </c>
      <c r="F57" s="7" t="s">
        <v>45</v>
      </c>
      <c r="G57" s="7">
        <v>2</v>
      </c>
      <c r="H57" s="10">
        <v>12000</v>
      </c>
      <c r="I57" s="10">
        <f t="shared" si="0"/>
        <v>24000</v>
      </c>
      <c r="J57" s="21" t="s">
        <v>46</v>
      </c>
    </row>
    <row r="58" spans="1:10" x14ac:dyDescent="0.35">
      <c r="A58" s="20" t="s">
        <v>121</v>
      </c>
      <c r="B58" s="9">
        <v>46045</v>
      </c>
      <c r="C58" s="7" t="s">
        <v>51</v>
      </c>
      <c r="D58" s="7" t="s">
        <v>60</v>
      </c>
      <c r="E58" s="7" t="s">
        <v>63</v>
      </c>
      <c r="F58" s="7" t="s">
        <v>54</v>
      </c>
      <c r="G58" s="7">
        <v>3</v>
      </c>
      <c r="H58" s="10">
        <v>18000</v>
      </c>
      <c r="I58" s="10">
        <f t="shared" si="0"/>
        <v>54000</v>
      </c>
      <c r="J58" s="21" t="s">
        <v>46</v>
      </c>
    </row>
    <row r="59" spans="1:10" x14ac:dyDescent="0.35">
      <c r="A59" s="20" t="s">
        <v>122</v>
      </c>
      <c r="B59" s="9">
        <v>46249</v>
      </c>
      <c r="C59" s="7" t="s">
        <v>48</v>
      </c>
      <c r="D59" s="7" t="s">
        <v>52</v>
      </c>
      <c r="E59" s="7" t="s">
        <v>53</v>
      </c>
      <c r="F59" s="7" t="s">
        <v>54</v>
      </c>
      <c r="G59" s="7">
        <v>1</v>
      </c>
      <c r="H59" s="10">
        <v>22000</v>
      </c>
      <c r="I59" s="10">
        <f t="shared" si="0"/>
        <v>22000</v>
      </c>
      <c r="J59" s="21" t="s">
        <v>46</v>
      </c>
    </row>
    <row r="60" spans="1:10" x14ac:dyDescent="0.35">
      <c r="A60" s="20" t="s">
        <v>123</v>
      </c>
      <c r="B60" s="9">
        <v>46099</v>
      </c>
      <c r="C60" s="7" t="s">
        <v>51</v>
      </c>
      <c r="D60" s="7" t="s">
        <v>60</v>
      </c>
      <c r="E60" s="7" t="s">
        <v>44</v>
      </c>
      <c r="F60" s="7" t="s">
        <v>45</v>
      </c>
      <c r="G60" s="7">
        <v>10</v>
      </c>
      <c r="H60" s="10">
        <v>55000</v>
      </c>
      <c r="I60" s="10">
        <f t="shared" si="0"/>
        <v>550000</v>
      </c>
      <c r="J60" s="21" t="s">
        <v>55</v>
      </c>
    </row>
    <row r="61" spans="1:10" x14ac:dyDescent="0.35">
      <c r="A61" s="20" t="s">
        <v>124</v>
      </c>
      <c r="B61" s="9">
        <v>46243</v>
      </c>
      <c r="C61" s="7" t="s">
        <v>72</v>
      </c>
      <c r="D61" s="7" t="s">
        <v>49</v>
      </c>
      <c r="E61" s="7" t="s">
        <v>53</v>
      </c>
      <c r="F61" s="7" t="s">
        <v>54</v>
      </c>
      <c r="G61" s="7">
        <v>5</v>
      </c>
      <c r="H61" s="10">
        <v>22000</v>
      </c>
      <c r="I61" s="10">
        <f t="shared" si="0"/>
        <v>110000</v>
      </c>
      <c r="J61" s="21" t="s">
        <v>46</v>
      </c>
    </row>
    <row r="62" spans="1:10" x14ac:dyDescent="0.35">
      <c r="A62" s="20" t="s">
        <v>125</v>
      </c>
      <c r="B62" s="9">
        <v>46206</v>
      </c>
      <c r="C62" s="7" t="s">
        <v>72</v>
      </c>
      <c r="D62" s="7" t="s">
        <v>43</v>
      </c>
      <c r="E62" s="7" t="s">
        <v>44</v>
      </c>
      <c r="F62" s="7" t="s">
        <v>45</v>
      </c>
      <c r="G62" s="7">
        <v>2</v>
      </c>
      <c r="H62" s="10">
        <v>55000</v>
      </c>
      <c r="I62" s="10">
        <f t="shared" si="0"/>
        <v>110000</v>
      </c>
      <c r="J62" s="21" t="s">
        <v>46</v>
      </c>
    </row>
    <row r="63" spans="1:10" x14ac:dyDescent="0.35">
      <c r="A63" s="20" t="s">
        <v>126</v>
      </c>
      <c r="B63" s="9">
        <v>46231</v>
      </c>
      <c r="C63" s="7" t="s">
        <v>72</v>
      </c>
      <c r="D63" s="7" t="s">
        <v>43</v>
      </c>
      <c r="E63" s="7" t="s">
        <v>73</v>
      </c>
      <c r="F63" s="7" t="s">
        <v>45</v>
      </c>
      <c r="G63" s="7">
        <v>3</v>
      </c>
      <c r="H63" s="10">
        <v>12000</v>
      </c>
      <c r="I63" s="10">
        <f t="shared" si="0"/>
        <v>36000</v>
      </c>
      <c r="J63" s="21" t="s">
        <v>46</v>
      </c>
    </row>
    <row r="64" spans="1:10" x14ac:dyDescent="0.35">
      <c r="A64" s="20" t="s">
        <v>127</v>
      </c>
      <c r="B64" s="9">
        <v>46035</v>
      </c>
      <c r="C64" s="7" t="s">
        <v>72</v>
      </c>
      <c r="D64" s="7" t="s">
        <v>60</v>
      </c>
      <c r="E64" s="7" t="s">
        <v>57</v>
      </c>
      <c r="F64" s="7" t="s">
        <v>58</v>
      </c>
      <c r="G64" s="7">
        <v>7</v>
      </c>
      <c r="H64" s="10">
        <v>2500</v>
      </c>
      <c r="I64" s="10">
        <f t="shared" si="0"/>
        <v>17500</v>
      </c>
      <c r="J64" s="21" t="s">
        <v>46</v>
      </c>
    </row>
    <row r="65" spans="1:10" x14ac:dyDescent="0.35">
      <c r="A65" s="20" t="s">
        <v>128</v>
      </c>
      <c r="B65" s="9">
        <v>46104</v>
      </c>
      <c r="C65" s="7" t="s">
        <v>51</v>
      </c>
      <c r="D65" s="7" t="s">
        <v>62</v>
      </c>
      <c r="E65" s="7" t="s">
        <v>63</v>
      </c>
      <c r="F65" s="7" t="s">
        <v>54</v>
      </c>
      <c r="G65" s="7">
        <v>1</v>
      </c>
      <c r="H65" s="10">
        <v>18000</v>
      </c>
      <c r="I65" s="10">
        <f t="shared" si="0"/>
        <v>18000</v>
      </c>
      <c r="J65" s="21" t="s">
        <v>55</v>
      </c>
    </row>
    <row r="66" spans="1:10" x14ac:dyDescent="0.35">
      <c r="A66" s="20" t="s">
        <v>129</v>
      </c>
      <c r="B66" s="9">
        <v>46125</v>
      </c>
      <c r="C66" s="7" t="s">
        <v>48</v>
      </c>
      <c r="D66" s="7" t="s">
        <v>60</v>
      </c>
      <c r="E66" s="7" t="s">
        <v>53</v>
      </c>
      <c r="F66" s="7" t="s">
        <v>54</v>
      </c>
      <c r="G66" s="7">
        <v>5</v>
      </c>
      <c r="H66" s="10">
        <v>22000</v>
      </c>
      <c r="I66" s="10">
        <f t="shared" ref="I66:I129" si="1">G66*H66</f>
        <v>110000</v>
      </c>
      <c r="J66" s="21" t="s">
        <v>46</v>
      </c>
    </row>
    <row r="67" spans="1:10" x14ac:dyDescent="0.35">
      <c r="A67" s="20" t="s">
        <v>130</v>
      </c>
      <c r="B67" s="9">
        <v>46035</v>
      </c>
      <c r="C67" s="7" t="s">
        <v>72</v>
      </c>
      <c r="D67" s="7" t="s">
        <v>62</v>
      </c>
      <c r="E67" s="7" t="s">
        <v>53</v>
      </c>
      <c r="F67" s="7" t="s">
        <v>54</v>
      </c>
      <c r="G67" s="7">
        <v>6</v>
      </c>
      <c r="H67" s="10">
        <v>22000</v>
      </c>
      <c r="I67" s="10">
        <f t="shared" si="1"/>
        <v>132000</v>
      </c>
      <c r="J67" s="21" t="s">
        <v>46</v>
      </c>
    </row>
    <row r="68" spans="1:10" x14ac:dyDescent="0.35">
      <c r="A68" s="20" t="s">
        <v>131</v>
      </c>
      <c r="B68" s="9">
        <v>46165</v>
      </c>
      <c r="C68" s="7" t="s">
        <v>42</v>
      </c>
      <c r="D68" s="7" t="s">
        <v>52</v>
      </c>
      <c r="E68" s="7" t="s">
        <v>44</v>
      </c>
      <c r="F68" s="7" t="s">
        <v>45</v>
      </c>
      <c r="G68" s="7">
        <v>7</v>
      </c>
      <c r="H68" s="10">
        <v>55000</v>
      </c>
      <c r="I68" s="10">
        <f t="shared" si="1"/>
        <v>385000</v>
      </c>
      <c r="J68" s="21" t="s">
        <v>55</v>
      </c>
    </row>
    <row r="69" spans="1:10" x14ac:dyDescent="0.35">
      <c r="A69" s="20" t="s">
        <v>132</v>
      </c>
      <c r="B69" s="9">
        <v>46037</v>
      </c>
      <c r="C69" s="7" t="s">
        <v>51</v>
      </c>
      <c r="D69" s="7" t="s">
        <v>60</v>
      </c>
      <c r="E69" s="7" t="s">
        <v>63</v>
      </c>
      <c r="F69" s="7" t="s">
        <v>54</v>
      </c>
      <c r="G69" s="7">
        <v>3</v>
      </c>
      <c r="H69" s="10">
        <v>18000</v>
      </c>
      <c r="I69" s="10">
        <f t="shared" si="1"/>
        <v>54000</v>
      </c>
      <c r="J69" s="21" t="s">
        <v>66</v>
      </c>
    </row>
    <row r="70" spans="1:10" x14ac:dyDescent="0.35">
      <c r="A70" s="20" t="s">
        <v>133</v>
      </c>
      <c r="B70" s="9">
        <v>46042</v>
      </c>
      <c r="C70" s="7" t="s">
        <v>51</v>
      </c>
      <c r="D70" s="7" t="s">
        <v>52</v>
      </c>
      <c r="E70" s="7" t="s">
        <v>63</v>
      </c>
      <c r="F70" s="7" t="s">
        <v>54</v>
      </c>
      <c r="G70" s="7">
        <v>7</v>
      </c>
      <c r="H70" s="10">
        <v>18000</v>
      </c>
      <c r="I70" s="10">
        <f t="shared" si="1"/>
        <v>126000</v>
      </c>
      <c r="J70" s="21" t="s">
        <v>46</v>
      </c>
    </row>
    <row r="71" spans="1:10" x14ac:dyDescent="0.35">
      <c r="A71" s="20" t="s">
        <v>134</v>
      </c>
      <c r="B71" s="9">
        <v>46246</v>
      </c>
      <c r="C71" s="7" t="s">
        <v>51</v>
      </c>
      <c r="D71" s="7" t="s">
        <v>62</v>
      </c>
      <c r="E71" s="7" t="s">
        <v>63</v>
      </c>
      <c r="F71" s="7" t="s">
        <v>54</v>
      </c>
      <c r="G71" s="7">
        <v>10</v>
      </c>
      <c r="H71" s="10">
        <v>18000</v>
      </c>
      <c r="I71" s="10">
        <f t="shared" si="1"/>
        <v>180000</v>
      </c>
      <c r="J71" s="21" t="s">
        <v>46</v>
      </c>
    </row>
    <row r="72" spans="1:10" x14ac:dyDescent="0.35">
      <c r="A72" s="20" t="s">
        <v>135</v>
      </c>
      <c r="B72" s="9">
        <v>46045</v>
      </c>
      <c r="C72" s="7" t="s">
        <v>48</v>
      </c>
      <c r="D72" s="7" t="s">
        <v>49</v>
      </c>
      <c r="E72" s="7" t="s">
        <v>63</v>
      </c>
      <c r="F72" s="7" t="s">
        <v>54</v>
      </c>
      <c r="G72" s="7">
        <v>9</v>
      </c>
      <c r="H72" s="10">
        <v>18000</v>
      </c>
      <c r="I72" s="10">
        <f t="shared" si="1"/>
        <v>162000</v>
      </c>
      <c r="J72" s="21" t="s">
        <v>55</v>
      </c>
    </row>
    <row r="73" spans="1:10" x14ac:dyDescent="0.35">
      <c r="A73" s="20" t="s">
        <v>136</v>
      </c>
      <c r="B73" s="9">
        <v>46209</v>
      </c>
      <c r="C73" s="7" t="s">
        <v>48</v>
      </c>
      <c r="D73" s="7" t="s">
        <v>49</v>
      </c>
      <c r="E73" s="7" t="s">
        <v>53</v>
      </c>
      <c r="F73" s="7" t="s">
        <v>54</v>
      </c>
      <c r="G73" s="7">
        <v>6</v>
      </c>
      <c r="H73" s="10">
        <v>22000</v>
      </c>
      <c r="I73" s="10">
        <f t="shared" si="1"/>
        <v>132000</v>
      </c>
      <c r="J73" s="21" t="s">
        <v>66</v>
      </c>
    </row>
    <row r="74" spans="1:10" x14ac:dyDescent="0.35">
      <c r="A74" s="20" t="s">
        <v>137</v>
      </c>
      <c r="B74" s="9">
        <v>46086</v>
      </c>
      <c r="C74" s="7" t="s">
        <v>42</v>
      </c>
      <c r="D74" s="7" t="s">
        <v>52</v>
      </c>
      <c r="E74" s="7" t="s">
        <v>63</v>
      </c>
      <c r="F74" s="7" t="s">
        <v>54</v>
      </c>
      <c r="G74" s="7">
        <v>5</v>
      </c>
      <c r="H74" s="10">
        <v>18000</v>
      </c>
      <c r="I74" s="10">
        <f t="shared" si="1"/>
        <v>90000</v>
      </c>
      <c r="J74" s="21" t="s">
        <v>46</v>
      </c>
    </row>
    <row r="75" spans="1:10" x14ac:dyDescent="0.35">
      <c r="A75" s="20" t="s">
        <v>138</v>
      </c>
      <c r="B75" s="9">
        <v>46229</v>
      </c>
      <c r="C75" s="7" t="s">
        <v>83</v>
      </c>
      <c r="D75" s="7" t="s">
        <v>52</v>
      </c>
      <c r="E75" s="7" t="s">
        <v>63</v>
      </c>
      <c r="F75" s="7" t="s">
        <v>54</v>
      </c>
      <c r="G75" s="7">
        <v>3</v>
      </c>
      <c r="H75" s="10">
        <v>18000</v>
      </c>
      <c r="I75" s="10">
        <f t="shared" si="1"/>
        <v>54000</v>
      </c>
      <c r="J75" s="21" t="s">
        <v>46</v>
      </c>
    </row>
    <row r="76" spans="1:10" x14ac:dyDescent="0.35">
      <c r="A76" s="20" t="s">
        <v>139</v>
      </c>
      <c r="B76" s="9">
        <v>46217</v>
      </c>
      <c r="C76" s="7" t="s">
        <v>72</v>
      </c>
      <c r="D76" s="7" t="s">
        <v>52</v>
      </c>
      <c r="E76" s="7" t="s">
        <v>57</v>
      </c>
      <c r="F76" s="7" t="s">
        <v>58</v>
      </c>
      <c r="G76" s="7">
        <v>10</v>
      </c>
      <c r="H76" s="10">
        <v>2500</v>
      </c>
      <c r="I76" s="10">
        <f t="shared" si="1"/>
        <v>25000</v>
      </c>
      <c r="J76" s="21" t="s">
        <v>46</v>
      </c>
    </row>
    <row r="77" spans="1:10" x14ac:dyDescent="0.35">
      <c r="A77" s="20" t="s">
        <v>140</v>
      </c>
      <c r="B77" s="9">
        <v>46023</v>
      </c>
      <c r="C77" s="7" t="s">
        <v>42</v>
      </c>
      <c r="D77" s="7" t="s">
        <v>60</v>
      </c>
      <c r="E77" s="7" t="s">
        <v>57</v>
      </c>
      <c r="F77" s="7" t="s">
        <v>58</v>
      </c>
      <c r="G77" s="7">
        <v>4</v>
      </c>
      <c r="H77" s="10">
        <v>2500</v>
      </c>
      <c r="I77" s="10">
        <f t="shared" si="1"/>
        <v>10000</v>
      </c>
      <c r="J77" s="21" t="s">
        <v>46</v>
      </c>
    </row>
    <row r="78" spans="1:10" x14ac:dyDescent="0.35">
      <c r="A78" s="20" t="s">
        <v>141</v>
      </c>
      <c r="B78" s="9">
        <v>46187</v>
      </c>
      <c r="C78" s="7" t="s">
        <v>48</v>
      </c>
      <c r="D78" s="7" t="s">
        <v>62</v>
      </c>
      <c r="E78" s="7" t="s">
        <v>73</v>
      </c>
      <c r="F78" s="7" t="s">
        <v>45</v>
      </c>
      <c r="G78" s="7">
        <v>8</v>
      </c>
      <c r="H78" s="10">
        <v>12000</v>
      </c>
      <c r="I78" s="10">
        <f t="shared" si="1"/>
        <v>96000</v>
      </c>
      <c r="J78" s="21" t="s">
        <v>46</v>
      </c>
    </row>
    <row r="79" spans="1:10" x14ac:dyDescent="0.35">
      <c r="A79" s="20" t="s">
        <v>142</v>
      </c>
      <c r="B79" s="9">
        <v>46265</v>
      </c>
      <c r="C79" s="7" t="s">
        <v>72</v>
      </c>
      <c r="D79" s="7" t="s">
        <v>49</v>
      </c>
      <c r="E79" s="7" t="s">
        <v>73</v>
      </c>
      <c r="F79" s="7" t="s">
        <v>45</v>
      </c>
      <c r="G79" s="7">
        <v>5</v>
      </c>
      <c r="H79" s="10">
        <v>12000</v>
      </c>
      <c r="I79" s="10">
        <f t="shared" si="1"/>
        <v>60000</v>
      </c>
      <c r="J79" s="21" t="s">
        <v>55</v>
      </c>
    </row>
    <row r="80" spans="1:10" x14ac:dyDescent="0.35">
      <c r="A80" s="20" t="s">
        <v>143</v>
      </c>
      <c r="B80" s="9">
        <v>46194</v>
      </c>
      <c r="C80" s="7" t="s">
        <v>51</v>
      </c>
      <c r="D80" s="7" t="s">
        <v>43</v>
      </c>
      <c r="E80" s="7" t="s">
        <v>73</v>
      </c>
      <c r="F80" s="7" t="s">
        <v>45</v>
      </c>
      <c r="G80" s="7">
        <v>5</v>
      </c>
      <c r="H80" s="10">
        <v>12000</v>
      </c>
      <c r="I80" s="10">
        <f t="shared" si="1"/>
        <v>60000</v>
      </c>
      <c r="J80" s="21" t="s">
        <v>46</v>
      </c>
    </row>
    <row r="81" spans="1:10" x14ac:dyDescent="0.35">
      <c r="A81" s="20" t="s">
        <v>144</v>
      </c>
      <c r="B81" s="9">
        <v>46098</v>
      </c>
      <c r="C81" s="7" t="s">
        <v>81</v>
      </c>
      <c r="D81" s="7" t="s">
        <v>49</v>
      </c>
      <c r="E81" s="7" t="s">
        <v>53</v>
      </c>
      <c r="F81" s="7" t="s">
        <v>54</v>
      </c>
      <c r="G81" s="7">
        <v>4</v>
      </c>
      <c r="H81" s="10">
        <v>22000</v>
      </c>
      <c r="I81" s="10">
        <f t="shared" si="1"/>
        <v>88000</v>
      </c>
      <c r="J81" s="21" t="s">
        <v>55</v>
      </c>
    </row>
    <row r="82" spans="1:10" x14ac:dyDescent="0.35">
      <c r="A82" s="20" t="s">
        <v>145</v>
      </c>
      <c r="B82" s="9">
        <v>46060</v>
      </c>
      <c r="C82" s="7" t="s">
        <v>48</v>
      </c>
      <c r="D82" s="7" t="s">
        <v>62</v>
      </c>
      <c r="E82" s="7" t="s">
        <v>73</v>
      </c>
      <c r="F82" s="7" t="s">
        <v>45</v>
      </c>
      <c r="G82" s="7">
        <v>10</v>
      </c>
      <c r="H82" s="10">
        <v>12000</v>
      </c>
      <c r="I82" s="10">
        <f t="shared" si="1"/>
        <v>120000</v>
      </c>
      <c r="J82" s="21" t="s">
        <v>46</v>
      </c>
    </row>
    <row r="83" spans="1:10" x14ac:dyDescent="0.35">
      <c r="A83" s="20" t="s">
        <v>146</v>
      </c>
      <c r="B83" s="9">
        <v>46276</v>
      </c>
      <c r="C83" s="7" t="s">
        <v>48</v>
      </c>
      <c r="D83" s="7" t="s">
        <v>43</v>
      </c>
      <c r="E83" s="7" t="s">
        <v>57</v>
      </c>
      <c r="F83" s="7" t="s">
        <v>58</v>
      </c>
      <c r="G83" s="7">
        <v>3</v>
      </c>
      <c r="H83" s="10">
        <v>2500</v>
      </c>
      <c r="I83" s="10">
        <f t="shared" si="1"/>
        <v>7500</v>
      </c>
      <c r="J83" s="21" t="s">
        <v>46</v>
      </c>
    </row>
    <row r="84" spans="1:10" x14ac:dyDescent="0.35">
      <c r="A84" s="20" t="s">
        <v>147</v>
      </c>
      <c r="B84" s="9">
        <v>46240</v>
      </c>
      <c r="C84" s="7" t="s">
        <v>72</v>
      </c>
      <c r="D84" s="7" t="s">
        <v>43</v>
      </c>
      <c r="E84" s="7" t="s">
        <v>44</v>
      </c>
      <c r="F84" s="7" t="s">
        <v>45</v>
      </c>
      <c r="G84" s="7">
        <v>9</v>
      </c>
      <c r="H84" s="10">
        <v>55000</v>
      </c>
      <c r="I84" s="10">
        <f t="shared" si="1"/>
        <v>495000</v>
      </c>
      <c r="J84" s="21" t="s">
        <v>55</v>
      </c>
    </row>
    <row r="85" spans="1:10" x14ac:dyDescent="0.35">
      <c r="A85" s="20" t="s">
        <v>148</v>
      </c>
      <c r="B85" s="9">
        <v>46150</v>
      </c>
      <c r="C85" s="7" t="s">
        <v>51</v>
      </c>
      <c r="D85" s="7" t="s">
        <v>62</v>
      </c>
      <c r="E85" s="7" t="s">
        <v>44</v>
      </c>
      <c r="F85" s="7" t="s">
        <v>45</v>
      </c>
      <c r="G85" s="7">
        <v>3</v>
      </c>
      <c r="H85" s="10">
        <v>55000</v>
      </c>
      <c r="I85" s="10">
        <f t="shared" si="1"/>
        <v>165000</v>
      </c>
      <c r="J85" s="21" t="s">
        <v>55</v>
      </c>
    </row>
    <row r="86" spans="1:10" x14ac:dyDescent="0.35">
      <c r="A86" s="20" t="s">
        <v>149</v>
      </c>
      <c r="B86" s="9">
        <v>46185</v>
      </c>
      <c r="C86" s="7" t="s">
        <v>48</v>
      </c>
      <c r="D86" s="7" t="s">
        <v>52</v>
      </c>
      <c r="E86" s="7" t="s">
        <v>73</v>
      </c>
      <c r="F86" s="7" t="s">
        <v>45</v>
      </c>
      <c r="G86" s="7">
        <v>9</v>
      </c>
      <c r="H86" s="10">
        <v>12000</v>
      </c>
      <c r="I86" s="10">
        <f t="shared" si="1"/>
        <v>108000</v>
      </c>
      <c r="J86" s="21" t="s">
        <v>46</v>
      </c>
    </row>
    <row r="87" spans="1:10" x14ac:dyDescent="0.35">
      <c r="A87" s="20" t="s">
        <v>150</v>
      </c>
      <c r="B87" s="9">
        <v>46251</v>
      </c>
      <c r="C87" s="7" t="s">
        <v>72</v>
      </c>
      <c r="D87" s="7" t="s">
        <v>62</v>
      </c>
      <c r="E87" s="7" t="s">
        <v>73</v>
      </c>
      <c r="F87" s="7" t="s">
        <v>45</v>
      </c>
      <c r="G87" s="7">
        <v>8</v>
      </c>
      <c r="H87" s="10">
        <v>12000</v>
      </c>
      <c r="I87" s="10">
        <f t="shared" si="1"/>
        <v>96000</v>
      </c>
      <c r="J87" s="21" t="s">
        <v>46</v>
      </c>
    </row>
    <row r="88" spans="1:10" x14ac:dyDescent="0.35">
      <c r="A88" s="20" t="s">
        <v>151</v>
      </c>
      <c r="B88" s="9">
        <v>46164</v>
      </c>
      <c r="C88" s="7" t="s">
        <v>48</v>
      </c>
      <c r="D88" s="7" t="s">
        <v>43</v>
      </c>
      <c r="E88" s="7" t="s">
        <v>53</v>
      </c>
      <c r="F88" s="7" t="s">
        <v>54</v>
      </c>
      <c r="G88" s="7">
        <v>5</v>
      </c>
      <c r="H88" s="10">
        <v>22000</v>
      </c>
      <c r="I88" s="10">
        <f t="shared" si="1"/>
        <v>110000</v>
      </c>
      <c r="J88" s="21" t="s">
        <v>55</v>
      </c>
    </row>
    <row r="89" spans="1:10" x14ac:dyDescent="0.35">
      <c r="A89" s="20" t="s">
        <v>152</v>
      </c>
      <c r="B89" s="9">
        <v>46169</v>
      </c>
      <c r="C89" s="7" t="s">
        <v>72</v>
      </c>
      <c r="D89" s="7" t="s">
        <v>60</v>
      </c>
      <c r="E89" s="7" t="s">
        <v>44</v>
      </c>
      <c r="F89" s="7" t="s">
        <v>45</v>
      </c>
      <c r="G89" s="7">
        <v>6</v>
      </c>
      <c r="H89" s="10">
        <v>55000</v>
      </c>
      <c r="I89" s="10">
        <f t="shared" si="1"/>
        <v>330000</v>
      </c>
      <c r="J89" s="21" t="s">
        <v>46</v>
      </c>
    </row>
    <row r="90" spans="1:10" x14ac:dyDescent="0.35">
      <c r="A90" s="20" t="s">
        <v>153</v>
      </c>
      <c r="B90" s="9">
        <v>46064</v>
      </c>
      <c r="C90" s="7" t="s">
        <v>72</v>
      </c>
      <c r="D90" s="7" t="s">
        <v>43</v>
      </c>
      <c r="E90" s="7" t="s">
        <v>73</v>
      </c>
      <c r="F90" s="7" t="s">
        <v>45</v>
      </c>
      <c r="G90" s="7">
        <v>4</v>
      </c>
      <c r="H90" s="10">
        <v>12000</v>
      </c>
      <c r="I90" s="10">
        <f t="shared" si="1"/>
        <v>48000</v>
      </c>
      <c r="J90" s="21" t="s">
        <v>46</v>
      </c>
    </row>
    <row r="91" spans="1:10" x14ac:dyDescent="0.35">
      <c r="A91" s="20" t="s">
        <v>154</v>
      </c>
      <c r="B91" s="9">
        <v>46132</v>
      </c>
      <c r="C91" s="7" t="s">
        <v>51</v>
      </c>
      <c r="D91" s="7" t="s">
        <v>62</v>
      </c>
      <c r="E91" s="7" t="s">
        <v>53</v>
      </c>
      <c r="F91" s="7" t="s">
        <v>54</v>
      </c>
      <c r="G91" s="7">
        <v>7</v>
      </c>
      <c r="H91" s="10">
        <v>22000</v>
      </c>
      <c r="I91" s="10">
        <f t="shared" si="1"/>
        <v>154000</v>
      </c>
      <c r="J91" s="21" t="s">
        <v>46</v>
      </c>
    </row>
    <row r="92" spans="1:10" x14ac:dyDescent="0.35">
      <c r="A92" s="20" t="s">
        <v>155</v>
      </c>
      <c r="B92" s="9">
        <v>46261</v>
      </c>
      <c r="C92" s="7" t="s">
        <v>69</v>
      </c>
      <c r="D92" s="7" t="s">
        <v>49</v>
      </c>
      <c r="E92" s="7" t="s">
        <v>73</v>
      </c>
      <c r="F92" s="7" t="s">
        <v>45</v>
      </c>
      <c r="G92" s="7">
        <v>4</v>
      </c>
      <c r="H92" s="10">
        <v>12000</v>
      </c>
      <c r="I92" s="10">
        <f t="shared" si="1"/>
        <v>48000</v>
      </c>
      <c r="J92" s="21" t="s">
        <v>46</v>
      </c>
    </row>
    <row r="93" spans="1:10" x14ac:dyDescent="0.35">
      <c r="A93" s="20" t="s">
        <v>156</v>
      </c>
      <c r="B93" s="9">
        <v>46033</v>
      </c>
      <c r="C93" s="7" t="s">
        <v>48</v>
      </c>
      <c r="D93" s="7" t="s">
        <v>62</v>
      </c>
      <c r="E93" s="7" t="s">
        <v>57</v>
      </c>
      <c r="F93" s="7" t="s">
        <v>58</v>
      </c>
      <c r="G93" s="7">
        <v>1</v>
      </c>
      <c r="H93" s="10">
        <v>2500</v>
      </c>
      <c r="I93" s="10">
        <f t="shared" si="1"/>
        <v>2500</v>
      </c>
      <c r="J93" s="21" t="s">
        <v>46</v>
      </c>
    </row>
    <row r="94" spans="1:10" x14ac:dyDescent="0.35">
      <c r="A94" s="20" t="s">
        <v>157</v>
      </c>
      <c r="B94" s="9">
        <v>46222</v>
      </c>
      <c r="C94" s="7" t="s">
        <v>48</v>
      </c>
      <c r="D94" s="7" t="s">
        <v>52</v>
      </c>
      <c r="E94" s="7" t="s">
        <v>63</v>
      </c>
      <c r="F94" s="7" t="s">
        <v>54</v>
      </c>
      <c r="G94" s="7">
        <v>9</v>
      </c>
      <c r="H94" s="10">
        <v>18000</v>
      </c>
      <c r="I94" s="10">
        <f t="shared" si="1"/>
        <v>162000</v>
      </c>
      <c r="J94" s="21" t="s">
        <v>66</v>
      </c>
    </row>
    <row r="95" spans="1:10" x14ac:dyDescent="0.35">
      <c r="A95" s="20" t="s">
        <v>158</v>
      </c>
      <c r="B95" s="9">
        <v>46272</v>
      </c>
      <c r="C95" s="7" t="s">
        <v>72</v>
      </c>
      <c r="D95" s="7" t="s">
        <v>60</v>
      </c>
      <c r="E95" s="7" t="s">
        <v>53</v>
      </c>
      <c r="F95" s="7" t="s">
        <v>54</v>
      </c>
      <c r="G95" s="7">
        <v>7</v>
      </c>
      <c r="H95" s="10">
        <v>22000</v>
      </c>
      <c r="I95" s="10">
        <f t="shared" si="1"/>
        <v>154000</v>
      </c>
      <c r="J95" s="21" t="s">
        <v>55</v>
      </c>
    </row>
    <row r="96" spans="1:10" x14ac:dyDescent="0.35">
      <c r="A96" s="20" t="s">
        <v>159</v>
      </c>
      <c r="B96" s="9">
        <v>46222</v>
      </c>
      <c r="C96" s="7" t="s">
        <v>83</v>
      </c>
      <c r="D96" s="7" t="s">
        <v>62</v>
      </c>
      <c r="E96" s="7" t="s">
        <v>44</v>
      </c>
      <c r="F96" s="7" t="s">
        <v>45</v>
      </c>
      <c r="G96" s="7">
        <v>3</v>
      </c>
      <c r="H96" s="10">
        <v>55000</v>
      </c>
      <c r="I96" s="10">
        <f t="shared" si="1"/>
        <v>165000</v>
      </c>
      <c r="J96" s="21" t="s">
        <v>55</v>
      </c>
    </row>
    <row r="97" spans="1:10" x14ac:dyDescent="0.35">
      <c r="A97" s="20" t="s">
        <v>160</v>
      </c>
      <c r="B97" s="9">
        <v>46036</v>
      </c>
      <c r="C97" s="7" t="s">
        <v>48</v>
      </c>
      <c r="D97" s="7" t="s">
        <v>52</v>
      </c>
      <c r="E97" s="7" t="s">
        <v>53</v>
      </c>
      <c r="F97" s="7" t="s">
        <v>54</v>
      </c>
      <c r="G97" s="7">
        <v>10</v>
      </c>
      <c r="H97" s="10">
        <v>22000</v>
      </c>
      <c r="I97" s="10">
        <f t="shared" si="1"/>
        <v>220000</v>
      </c>
      <c r="J97" s="21" t="s">
        <v>46</v>
      </c>
    </row>
    <row r="98" spans="1:10" x14ac:dyDescent="0.35">
      <c r="A98" s="20" t="s">
        <v>161</v>
      </c>
      <c r="B98" s="9">
        <v>46242</v>
      </c>
      <c r="C98" s="7" t="s">
        <v>72</v>
      </c>
      <c r="D98" s="7" t="s">
        <v>62</v>
      </c>
      <c r="E98" s="7" t="s">
        <v>44</v>
      </c>
      <c r="F98" s="7" t="s">
        <v>45</v>
      </c>
      <c r="G98" s="7">
        <v>3</v>
      </c>
      <c r="H98" s="10">
        <v>55000</v>
      </c>
      <c r="I98" s="10">
        <f t="shared" si="1"/>
        <v>165000</v>
      </c>
      <c r="J98" s="21" t="s">
        <v>46</v>
      </c>
    </row>
    <row r="99" spans="1:10" x14ac:dyDescent="0.35">
      <c r="A99" s="20" t="s">
        <v>162</v>
      </c>
      <c r="B99" s="9">
        <v>46217</v>
      </c>
      <c r="C99" s="7" t="s">
        <v>42</v>
      </c>
      <c r="D99" s="7" t="s">
        <v>43</v>
      </c>
      <c r="E99" s="7" t="s">
        <v>63</v>
      </c>
      <c r="F99" s="7" t="s">
        <v>54</v>
      </c>
      <c r="G99" s="7">
        <v>8</v>
      </c>
      <c r="H99" s="10">
        <v>18000</v>
      </c>
      <c r="I99" s="10">
        <f t="shared" si="1"/>
        <v>144000</v>
      </c>
      <c r="J99" s="21" t="s">
        <v>46</v>
      </c>
    </row>
    <row r="100" spans="1:10" x14ac:dyDescent="0.35">
      <c r="A100" s="20" t="s">
        <v>163</v>
      </c>
      <c r="B100" s="9">
        <v>46217</v>
      </c>
      <c r="C100" s="7" t="s">
        <v>164</v>
      </c>
      <c r="D100" s="7" t="s">
        <v>62</v>
      </c>
      <c r="E100" s="7" t="s">
        <v>63</v>
      </c>
      <c r="F100" s="7" t="s">
        <v>54</v>
      </c>
      <c r="G100" s="7">
        <v>5</v>
      </c>
      <c r="H100" s="10">
        <v>18000</v>
      </c>
      <c r="I100" s="10">
        <f t="shared" si="1"/>
        <v>90000</v>
      </c>
      <c r="J100" s="21" t="s">
        <v>46</v>
      </c>
    </row>
    <row r="101" spans="1:10" x14ac:dyDescent="0.35">
      <c r="A101" s="20" t="s">
        <v>165</v>
      </c>
      <c r="B101" s="9">
        <v>46032</v>
      </c>
      <c r="C101" s="7" t="s">
        <v>51</v>
      </c>
      <c r="D101" s="7" t="s">
        <v>60</v>
      </c>
      <c r="E101" s="7" t="s">
        <v>57</v>
      </c>
      <c r="F101" s="7" t="s">
        <v>58</v>
      </c>
      <c r="G101" s="7">
        <v>4</v>
      </c>
      <c r="H101" s="10">
        <v>2500</v>
      </c>
      <c r="I101" s="10">
        <f t="shared" si="1"/>
        <v>10000</v>
      </c>
      <c r="J101" s="21" t="s">
        <v>46</v>
      </c>
    </row>
    <row r="102" spans="1:10" x14ac:dyDescent="0.35">
      <c r="A102" s="20" t="s">
        <v>166</v>
      </c>
      <c r="B102" s="9">
        <v>46038</v>
      </c>
      <c r="C102" s="7" t="s">
        <v>72</v>
      </c>
      <c r="D102" s="7" t="s">
        <v>43</v>
      </c>
      <c r="E102" s="7" t="s">
        <v>44</v>
      </c>
      <c r="F102" s="7" t="s">
        <v>45</v>
      </c>
      <c r="G102" s="7">
        <v>1</v>
      </c>
      <c r="H102" s="10">
        <v>55000</v>
      </c>
      <c r="I102" s="10">
        <f t="shared" si="1"/>
        <v>55000</v>
      </c>
      <c r="J102" s="21" t="s">
        <v>66</v>
      </c>
    </row>
    <row r="103" spans="1:10" x14ac:dyDescent="0.35">
      <c r="A103" s="20" t="s">
        <v>167</v>
      </c>
      <c r="B103" s="9">
        <v>46145</v>
      </c>
      <c r="C103" s="7" t="s">
        <v>72</v>
      </c>
      <c r="D103" s="7" t="s">
        <v>62</v>
      </c>
      <c r="E103" s="7" t="s">
        <v>53</v>
      </c>
      <c r="F103" s="7" t="s">
        <v>54</v>
      </c>
      <c r="G103" s="7">
        <v>2</v>
      </c>
      <c r="H103" s="10">
        <v>22000</v>
      </c>
      <c r="I103" s="10">
        <f t="shared" si="1"/>
        <v>44000</v>
      </c>
      <c r="J103" s="21" t="s">
        <v>66</v>
      </c>
    </row>
    <row r="104" spans="1:10" x14ac:dyDescent="0.35">
      <c r="A104" s="20" t="s">
        <v>168</v>
      </c>
      <c r="B104" s="9">
        <v>46261</v>
      </c>
      <c r="C104" s="7" t="s">
        <v>42</v>
      </c>
      <c r="D104" s="7" t="s">
        <v>60</v>
      </c>
      <c r="E104" s="7" t="s">
        <v>53</v>
      </c>
      <c r="F104" s="7" t="s">
        <v>54</v>
      </c>
      <c r="G104" s="7">
        <v>3</v>
      </c>
      <c r="H104" s="10">
        <v>22000</v>
      </c>
      <c r="I104" s="10">
        <f t="shared" si="1"/>
        <v>66000</v>
      </c>
      <c r="J104" s="21" t="s">
        <v>66</v>
      </c>
    </row>
    <row r="105" spans="1:10" x14ac:dyDescent="0.35">
      <c r="A105" s="20" t="s">
        <v>169</v>
      </c>
      <c r="B105" s="9">
        <v>46081</v>
      </c>
      <c r="C105" s="7" t="s">
        <v>72</v>
      </c>
      <c r="D105" s="7" t="s">
        <v>60</v>
      </c>
      <c r="E105" s="7" t="s">
        <v>73</v>
      </c>
      <c r="F105" s="7" t="s">
        <v>45</v>
      </c>
      <c r="G105" s="7">
        <v>2</v>
      </c>
      <c r="H105" s="10">
        <v>12000</v>
      </c>
      <c r="I105" s="10">
        <f t="shared" si="1"/>
        <v>24000</v>
      </c>
      <c r="J105" s="21" t="s">
        <v>66</v>
      </c>
    </row>
    <row r="106" spans="1:10" x14ac:dyDescent="0.35">
      <c r="A106" s="20" t="s">
        <v>170</v>
      </c>
      <c r="B106" s="9">
        <v>46182</v>
      </c>
      <c r="C106" s="7" t="s">
        <v>48</v>
      </c>
      <c r="D106" s="7" t="s">
        <v>62</v>
      </c>
      <c r="E106" s="7" t="s">
        <v>44</v>
      </c>
      <c r="F106" s="7" t="s">
        <v>45</v>
      </c>
      <c r="G106" s="7">
        <v>4</v>
      </c>
      <c r="H106" s="10">
        <v>55000</v>
      </c>
      <c r="I106" s="10">
        <f t="shared" si="1"/>
        <v>220000</v>
      </c>
      <c r="J106" s="21" t="s">
        <v>46</v>
      </c>
    </row>
    <row r="107" spans="1:10" x14ac:dyDescent="0.35">
      <c r="A107" s="20" t="s">
        <v>171</v>
      </c>
      <c r="B107" s="9">
        <v>46147</v>
      </c>
      <c r="C107" s="7" t="s">
        <v>51</v>
      </c>
      <c r="D107" s="7" t="s">
        <v>60</v>
      </c>
      <c r="E107" s="7" t="s">
        <v>73</v>
      </c>
      <c r="F107" s="7" t="s">
        <v>45</v>
      </c>
      <c r="G107" s="7">
        <v>10</v>
      </c>
      <c r="H107" s="10">
        <v>12000</v>
      </c>
      <c r="I107" s="10">
        <f t="shared" si="1"/>
        <v>120000</v>
      </c>
      <c r="J107" s="21" t="s">
        <v>46</v>
      </c>
    </row>
    <row r="108" spans="1:10" x14ac:dyDescent="0.35">
      <c r="A108" s="20" t="s">
        <v>172</v>
      </c>
      <c r="B108" s="9">
        <v>46044</v>
      </c>
      <c r="C108" s="7" t="s">
        <v>42</v>
      </c>
      <c r="D108" s="7" t="s">
        <v>52</v>
      </c>
      <c r="E108" s="7" t="s">
        <v>73</v>
      </c>
      <c r="F108" s="7" t="s">
        <v>45</v>
      </c>
      <c r="G108" s="7">
        <v>7</v>
      </c>
      <c r="H108" s="10">
        <v>12000</v>
      </c>
      <c r="I108" s="10">
        <f t="shared" si="1"/>
        <v>84000</v>
      </c>
      <c r="J108" s="21" t="s">
        <v>46</v>
      </c>
    </row>
    <row r="109" spans="1:10" x14ac:dyDescent="0.35">
      <c r="A109" s="20" t="s">
        <v>173</v>
      </c>
      <c r="B109" s="9">
        <v>46282</v>
      </c>
      <c r="C109" s="7" t="s">
        <v>42</v>
      </c>
      <c r="D109" s="7" t="s">
        <v>49</v>
      </c>
      <c r="E109" s="7" t="s">
        <v>44</v>
      </c>
      <c r="F109" s="7" t="s">
        <v>45</v>
      </c>
      <c r="G109" s="7">
        <v>7</v>
      </c>
      <c r="H109" s="10">
        <v>55000</v>
      </c>
      <c r="I109" s="10">
        <f t="shared" si="1"/>
        <v>385000</v>
      </c>
      <c r="J109" s="21" t="s">
        <v>55</v>
      </c>
    </row>
    <row r="110" spans="1:10" x14ac:dyDescent="0.35">
      <c r="A110" s="20" t="s">
        <v>174</v>
      </c>
      <c r="B110" s="9">
        <v>46244</v>
      </c>
      <c r="C110" s="7" t="s">
        <v>42</v>
      </c>
      <c r="D110" s="7" t="s">
        <v>62</v>
      </c>
      <c r="E110" s="7" t="s">
        <v>44</v>
      </c>
      <c r="F110" s="7" t="s">
        <v>45</v>
      </c>
      <c r="G110" s="7">
        <v>3</v>
      </c>
      <c r="H110" s="10">
        <v>55000</v>
      </c>
      <c r="I110" s="10">
        <f t="shared" si="1"/>
        <v>165000</v>
      </c>
      <c r="J110" s="21" t="s">
        <v>46</v>
      </c>
    </row>
    <row r="111" spans="1:10" x14ac:dyDescent="0.35">
      <c r="A111" s="20" t="s">
        <v>175</v>
      </c>
      <c r="B111" s="9">
        <v>46290</v>
      </c>
      <c r="C111" s="7" t="s">
        <v>42</v>
      </c>
      <c r="D111" s="7" t="s">
        <v>52</v>
      </c>
      <c r="E111" s="7" t="s">
        <v>53</v>
      </c>
      <c r="F111" s="7" t="s">
        <v>54</v>
      </c>
      <c r="G111" s="7">
        <v>9</v>
      </c>
      <c r="H111" s="10">
        <v>22000</v>
      </c>
      <c r="I111" s="10">
        <f t="shared" si="1"/>
        <v>198000</v>
      </c>
      <c r="J111" s="21" t="s">
        <v>55</v>
      </c>
    </row>
    <row r="112" spans="1:10" x14ac:dyDescent="0.35">
      <c r="A112" s="20" t="s">
        <v>176</v>
      </c>
      <c r="B112" s="9">
        <v>46246</v>
      </c>
      <c r="C112" s="7" t="s">
        <v>42</v>
      </c>
      <c r="D112" s="7" t="s">
        <v>60</v>
      </c>
      <c r="E112" s="7" t="s">
        <v>57</v>
      </c>
      <c r="F112" s="7" t="s">
        <v>58</v>
      </c>
      <c r="G112" s="7">
        <v>4</v>
      </c>
      <c r="H112" s="10">
        <v>2500</v>
      </c>
      <c r="I112" s="10">
        <f t="shared" si="1"/>
        <v>10000</v>
      </c>
      <c r="J112" s="21" t="s">
        <v>46</v>
      </c>
    </row>
    <row r="113" spans="1:10" x14ac:dyDescent="0.35">
      <c r="A113" s="20" t="s">
        <v>177</v>
      </c>
      <c r="B113" s="9">
        <v>46253</v>
      </c>
      <c r="C113" s="7" t="s">
        <v>72</v>
      </c>
      <c r="D113" s="7" t="s">
        <v>62</v>
      </c>
      <c r="E113" s="7" t="s">
        <v>63</v>
      </c>
      <c r="F113" s="7" t="s">
        <v>54</v>
      </c>
      <c r="G113" s="7">
        <v>10</v>
      </c>
      <c r="H113" s="10">
        <v>18000</v>
      </c>
      <c r="I113" s="10">
        <f t="shared" si="1"/>
        <v>180000</v>
      </c>
      <c r="J113" s="21" t="s">
        <v>66</v>
      </c>
    </row>
    <row r="114" spans="1:10" x14ac:dyDescent="0.35">
      <c r="A114" s="20" t="s">
        <v>178</v>
      </c>
      <c r="B114" s="9">
        <v>46195</v>
      </c>
      <c r="C114" s="7" t="s">
        <v>51</v>
      </c>
      <c r="D114" s="7" t="s">
        <v>62</v>
      </c>
      <c r="E114" s="7" t="s">
        <v>57</v>
      </c>
      <c r="F114" s="7" t="s">
        <v>58</v>
      </c>
      <c r="G114" s="7">
        <v>6</v>
      </c>
      <c r="H114" s="10">
        <v>2500</v>
      </c>
      <c r="I114" s="10">
        <f t="shared" si="1"/>
        <v>15000</v>
      </c>
      <c r="J114" s="21" t="s">
        <v>46</v>
      </c>
    </row>
    <row r="115" spans="1:10" x14ac:dyDescent="0.35">
      <c r="A115" s="20" t="s">
        <v>179</v>
      </c>
      <c r="B115" s="9">
        <v>46131</v>
      </c>
      <c r="C115" s="7" t="s">
        <v>42</v>
      </c>
      <c r="D115" s="7" t="s">
        <v>60</v>
      </c>
      <c r="E115" s="7" t="s">
        <v>57</v>
      </c>
      <c r="F115" s="7" t="s">
        <v>58</v>
      </c>
      <c r="G115" s="7">
        <v>6</v>
      </c>
      <c r="H115" s="10">
        <v>2500</v>
      </c>
      <c r="I115" s="10">
        <f t="shared" si="1"/>
        <v>15000</v>
      </c>
      <c r="J115" s="21" t="s">
        <v>46</v>
      </c>
    </row>
    <row r="116" spans="1:10" x14ac:dyDescent="0.35">
      <c r="A116" s="20" t="s">
        <v>180</v>
      </c>
      <c r="B116" s="9">
        <v>46164</v>
      </c>
      <c r="C116" s="7" t="s">
        <v>51</v>
      </c>
      <c r="D116" s="7" t="s">
        <v>52</v>
      </c>
      <c r="E116" s="7" t="s">
        <v>73</v>
      </c>
      <c r="F116" s="7" t="s">
        <v>45</v>
      </c>
      <c r="G116" s="7">
        <v>4</v>
      </c>
      <c r="H116" s="10">
        <v>12000</v>
      </c>
      <c r="I116" s="10">
        <f t="shared" si="1"/>
        <v>48000</v>
      </c>
      <c r="J116" s="21" t="s">
        <v>46</v>
      </c>
    </row>
    <row r="117" spans="1:10" x14ac:dyDescent="0.35">
      <c r="A117" s="20" t="s">
        <v>181</v>
      </c>
      <c r="B117" s="9">
        <v>46231</v>
      </c>
      <c r="C117" s="7" t="s">
        <v>69</v>
      </c>
      <c r="D117" s="7" t="s">
        <v>52</v>
      </c>
      <c r="E117" s="7" t="s">
        <v>53</v>
      </c>
      <c r="F117" s="7" t="s">
        <v>54</v>
      </c>
      <c r="G117" s="7">
        <v>4</v>
      </c>
      <c r="H117" s="10">
        <v>22000</v>
      </c>
      <c r="I117" s="10">
        <f t="shared" si="1"/>
        <v>88000</v>
      </c>
      <c r="J117" s="21" t="s">
        <v>55</v>
      </c>
    </row>
    <row r="118" spans="1:10" x14ac:dyDescent="0.35">
      <c r="A118" s="20" t="s">
        <v>182</v>
      </c>
      <c r="B118" s="9">
        <v>46252</v>
      </c>
      <c r="C118" s="7" t="s">
        <v>51</v>
      </c>
      <c r="D118" s="7" t="s">
        <v>49</v>
      </c>
      <c r="E118" s="7" t="s">
        <v>57</v>
      </c>
      <c r="F118" s="7" t="s">
        <v>58</v>
      </c>
      <c r="G118" s="7">
        <v>5</v>
      </c>
      <c r="H118" s="10">
        <v>2500</v>
      </c>
      <c r="I118" s="10">
        <f t="shared" si="1"/>
        <v>12500</v>
      </c>
      <c r="J118" s="21" t="s">
        <v>46</v>
      </c>
    </row>
    <row r="119" spans="1:10" x14ac:dyDescent="0.35">
      <c r="A119" s="20" t="s">
        <v>183</v>
      </c>
      <c r="B119" s="9">
        <v>46147</v>
      </c>
      <c r="C119" s="7" t="s">
        <v>42</v>
      </c>
      <c r="D119" s="7" t="s">
        <v>52</v>
      </c>
      <c r="E119" s="7" t="s">
        <v>57</v>
      </c>
      <c r="F119" s="7" t="s">
        <v>58</v>
      </c>
      <c r="G119" s="7">
        <v>6</v>
      </c>
      <c r="H119" s="10">
        <v>2500</v>
      </c>
      <c r="I119" s="10">
        <f t="shared" si="1"/>
        <v>15000</v>
      </c>
      <c r="J119" s="21" t="s">
        <v>55</v>
      </c>
    </row>
    <row r="120" spans="1:10" x14ac:dyDescent="0.35">
      <c r="A120" s="20" t="s">
        <v>184</v>
      </c>
      <c r="B120" s="9">
        <v>46199</v>
      </c>
      <c r="C120" s="7" t="s">
        <v>69</v>
      </c>
      <c r="D120" s="7" t="s">
        <v>185</v>
      </c>
      <c r="E120" s="7" t="s">
        <v>73</v>
      </c>
      <c r="F120" s="7" t="s">
        <v>45</v>
      </c>
      <c r="G120" s="7">
        <v>6</v>
      </c>
      <c r="H120" s="10">
        <v>12000</v>
      </c>
      <c r="I120" s="10">
        <f t="shared" si="1"/>
        <v>72000</v>
      </c>
      <c r="J120" s="21" t="s">
        <v>46</v>
      </c>
    </row>
    <row r="121" spans="1:10" x14ac:dyDescent="0.35">
      <c r="A121" s="20" t="s">
        <v>186</v>
      </c>
      <c r="B121" s="9">
        <v>46161</v>
      </c>
      <c r="C121" s="7" t="s">
        <v>42</v>
      </c>
      <c r="D121" s="7" t="s">
        <v>60</v>
      </c>
      <c r="E121" s="7" t="s">
        <v>57</v>
      </c>
      <c r="F121" s="7" t="s">
        <v>58</v>
      </c>
      <c r="G121" s="7">
        <v>4</v>
      </c>
      <c r="H121" s="10">
        <v>2500</v>
      </c>
      <c r="I121" s="10">
        <f t="shared" si="1"/>
        <v>10000</v>
      </c>
      <c r="J121" s="21" t="s">
        <v>46</v>
      </c>
    </row>
    <row r="122" spans="1:10" x14ac:dyDescent="0.35">
      <c r="A122" s="20" t="s">
        <v>187</v>
      </c>
      <c r="B122" s="9">
        <v>46184</v>
      </c>
      <c r="C122" s="7" t="s">
        <v>51</v>
      </c>
      <c r="D122" s="7" t="s">
        <v>52</v>
      </c>
      <c r="E122" s="7" t="s">
        <v>53</v>
      </c>
      <c r="F122" s="7" t="s">
        <v>54</v>
      </c>
      <c r="G122" s="7">
        <v>3</v>
      </c>
      <c r="H122" s="10">
        <v>22000</v>
      </c>
      <c r="I122" s="10">
        <f t="shared" si="1"/>
        <v>66000</v>
      </c>
      <c r="J122" s="21" t="s">
        <v>46</v>
      </c>
    </row>
    <row r="123" spans="1:10" x14ac:dyDescent="0.35">
      <c r="A123" s="20" t="s">
        <v>188</v>
      </c>
      <c r="B123" s="9">
        <v>46270</v>
      </c>
      <c r="C123" s="7" t="s">
        <v>42</v>
      </c>
      <c r="D123" s="7" t="s">
        <v>52</v>
      </c>
      <c r="E123" s="7" t="s">
        <v>53</v>
      </c>
      <c r="F123" s="7" t="s">
        <v>54</v>
      </c>
      <c r="G123" s="7">
        <v>9</v>
      </c>
      <c r="H123" s="10">
        <v>22000</v>
      </c>
      <c r="I123" s="10">
        <f t="shared" si="1"/>
        <v>198000</v>
      </c>
      <c r="J123" s="21" t="s">
        <v>66</v>
      </c>
    </row>
    <row r="124" spans="1:10" x14ac:dyDescent="0.35">
      <c r="A124" s="20" t="s">
        <v>189</v>
      </c>
      <c r="B124" s="9">
        <v>46074</v>
      </c>
      <c r="C124" s="7" t="s">
        <v>72</v>
      </c>
      <c r="D124" s="7" t="s">
        <v>60</v>
      </c>
      <c r="E124" s="7" t="s">
        <v>63</v>
      </c>
      <c r="F124" s="7" t="s">
        <v>54</v>
      </c>
      <c r="G124" s="7">
        <v>4</v>
      </c>
      <c r="H124" s="10">
        <v>18000</v>
      </c>
      <c r="I124" s="10">
        <f t="shared" si="1"/>
        <v>72000</v>
      </c>
      <c r="J124" s="21" t="s">
        <v>46</v>
      </c>
    </row>
    <row r="125" spans="1:10" x14ac:dyDescent="0.35">
      <c r="A125" s="20" t="s">
        <v>190</v>
      </c>
      <c r="B125" s="9">
        <v>46177</v>
      </c>
      <c r="C125" s="7" t="s">
        <v>51</v>
      </c>
      <c r="D125" s="7" t="s">
        <v>52</v>
      </c>
      <c r="E125" s="7" t="s">
        <v>53</v>
      </c>
      <c r="F125" s="7" t="s">
        <v>54</v>
      </c>
      <c r="G125" s="7">
        <v>3</v>
      </c>
      <c r="H125" s="10">
        <v>22000</v>
      </c>
      <c r="I125" s="10">
        <f t="shared" si="1"/>
        <v>66000</v>
      </c>
      <c r="J125" s="21" t="s">
        <v>46</v>
      </c>
    </row>
    <row r="126" spans="1:10" x14ac:dyDescent="0.35">
      <c r="A126" s="20" t="s">
        <v>191</v>
      </c>
      <c r="B126" s="9">
        <v>46050</v>
      </c>
      <c r="C126" s="7" t="s">
        <v>42</v>
      </c>
      <c r="D126" s="7" t="s">
        <v>43</v>
      </c>
      <c r="E126" s="7" t="s">
        <v>44</v>
      </c>
      <c r="F126" s="7" t="s">
        <v>45</v>
      </c>
      <c r="G126" s="7">
        <v>8</v>
      </c>
      <c r="H126" s="10">
        <v>55000</v>
      </c>
      <c r="I126" s="10">
        <f t="shared" si="1"/>
        <v>440000</v>
      </c>
      <c r="J126" s="21" t="s">
        <v>46</v>
      </c>
    </row>
    <row r="127" spans="1:10" x14ac:dyDescent="0.35">
      <c r="A127" s="20" t="s">
        <v>192</v>
      </c>
      <c r="B127" s="9">
        <v>46168</v>
      </c>
      <c r="C127" s="7" t="s">
        <v>48</v>
      </c>
      <c r="D127" s="7" t="s">
        <v>62</v>
      </c>
      <c r="E127" s="7" t="s">
        <v>44</v>
      </c>
      <c r="F127" s="7" t="s">
        <v>45</v>
      </c>
      <c r="G127" s="7">
        <v>8</v>
      </c>
      <c r="H127" s="10">
        <v>55000</v>
      </c>
      <c r="I127" s="10">
        <f t="shared" si="1"/>
        <v>440000</v>
      </c>
      <c r="J127" s="21" t="s">
        <v>46</v>
      </c>
    </row>
    <row r="128" spans="1:10" x14ac:dyDescent="0.35">
      <c r="A128" s="20" t="s">
        <v>193</v>
      </c>
      <c r="B128" s="9">
        <v>46049</v>
      </c>
      <c r="C128" s="7" t="s">
        <v>42</v>
      </c>
      <c r="D128" s="7" t="s">
        <v>62</v>
      </c>
      <c r="E128" s="7" t="s">
        <v>53</v>
      </c>
      <c r="F128" s="7" t="s">
        <v>54</v>
      </c>
      <c r="G128" s="7">
        <v>2</v>
      </c>
      <c r="H128" s="10">
        <v>22000</v>
      </c>
      <c r="I128" s="10">
        <f t="shared" si="1"/>
        <v>44000</v>
      </c>
      <c r="J128" s="21" t="s">
        <v>46</v>
      </c>
    </row>
    <row r="129" spans="1:10" x14ac:dyDescent="0.35">
      <c r="A129" s="20" t="s">
        <v>194</v>
      </c>
      <c r="B129" s="9">
        <v>46274</v>
      </c>
      <c r="C129" s="7" t="s">
        <v>51</v>
      </c>
      <c r="D129" s="7" t="s">
        <v>52</v>
      </c>
      <c r="E129" s="7" t="s">
        <v>57</v>
      </c>
      <c r="F129" s="7" t="s">
        <v>58</v>
      </c>
      <c r="G129" s="7">
        <v>1</v>
      </c>
      <c r="H129" s="10">
        <v>2500</v>
      </c>
      <c r="I129" s="10">
        <f t="shared" si="1"/>
        <v>2500</v>
      </c>
      <c r="J129" s="21" t="s">
        <v>46</v>
      </c>
    </row>
    <row r="130" spans="1:10" x14ac:dyDescent="0.35">
      <c r="A130" s="20" t="s">
        <v>195</v>
      </c>
      <c r="B130" s="9">
        <v>46178</v>
      </c>
      <c r="C130" s="7" t="s">
        <v>51</v>
      </c>
      <c r="D130" s="7" t="s">
        <v>43</v>
      </c>
      <c r="E130" s="7" t="s">
        <v>53</v>
      </c>
      <c r="F130" s="7" t="s">
        <v>54</v>
      </c>
      <c r="G130" s="7">
        <v>2</v>
      </c>
      <c r="H130" s="10">
        <v>22000</v>
      </c>
      <c r="I130" s="10">
        <f t="shared" ref="I130:I193" si="2">G130*H130</f>
        <v>44000</v>
      </c>
      <c r="J130" s="21" t="s">
        <v>55</v>
      </c>
    </row>
    <row r="131" spans="1:10" x14ac:dyDescent="0.35">
      <c r="A131" s="20" t="s">
        <v>196</v>
      </c>
      <c r="B131" s="9">
        <v>46138</v>
      </c>
      <c r="C131" s="7" t="s">
        <v>197</v>
      </c>
      <c r="D131" s="7" t="s">
        <v>62</v>
      </c>
      <c r="E131" s="7" t="s">
        <v>57</v>
      </c>
      <c r="F131" s="7" t="s">
        <v>58</v>
      </c>
      <c r="G131" s="7">
        <v>8</v>
      </c>
      <c r="H131" s="10">
        <v>2500</v>
      </c>
      <c r="I131" s="10">
        <f t="shared" si="2"/>
        <v>20000</v>
      </c>
      <c r="J131" s="21" t="s">
        <v>46</v>
      </c>
    </row>
    <row r="132" spans="1:10" x14ac:dyDescent="0.35">
      <c r="A132" s="20" t="s">
        <v>198</v>
      </c>
      <c r="B132" s="9">
        <v>46242</v>
      </c>
      <c r="C132" s="7" t="s">
        <v>42</v>
      </c>
      <c r="D132" s="7" t="s">
        <v>52</v>
      </c>
      <c r="E132" s="7" t="s">
        <v>73</v>
      </c>
      <c r="F132" s="7" t="s">
        <v>45</v>
      </c>
      <c r="G132" s="7">
        <v>10</v>
      </c>
      <c r="H132" s="10">
        <v>12000</v>
      </c>
      <c r="I132" s="10">
        <f t="shared" si="2"/>
        <v>120000</v>
      </c>
      <c r="J132" s="21" t="s">
        <v>46</v>
      </c>
    </row>
    <row r="133" spans="1:10" x14ac:dyDescent="0.35">
      <c r="A133" s="20" t="s">
        <v>199</v>
      </c>
      <c r="B133" s="9">
        <v>46073</v>
      </c>
      <c r="C133" s="7" t="s">
        <v>72</v>
      </c>
      <c r="D133" s="7" t="s">
        <v>43</v>
      </c>
      <c r="E133" s="7" t="s">
        <v>73</v>
      </c>
      <c r="F133" s="7" t="s">
        <v>45</v>
      </c>
      <c r="G133" s="7">
        <v>5</v>
      </c>
      <c r="H133" s="10">
        <v>12000</v>
      </c>
      <c r="I133" s="10">
        <f t="shared" si="2"/>
        <v>60000</v>
      </c>
      <c r="J133" s="21" t="s">
        <v>46</v>
      </c>
    </row>
    <row r="134" spans="1:10" x14ac:dyDescent="0.35">
      <c r="A134" s="20" t="s">
        <v>200</v>
      </c>
      <c r="B134" s="9">
        <v>46145</v>
      </c>
      <c r="C134" s="7" t="s">
        <v>72</v>
      </c>
      <c r="D134" s="7" t="s">
        <v>52</v>
      </c>
      <c r="E134" s="7" t="s">
        <v>53</v>
      </c>
      <c r="F134" s="7" t="s">
        <v>54</v>
      </c>
      <c r="G134" s="7">
        <v>2</v>
      </c>
      <c r="H134" s="10">
        <v>22000</v>
      </c>
      <c r="I134" s="10">
        <f t="shared" si="2"/>
        <v>44000</v>
      </c>
      <c r="J134" s="21" t="s">
        <v>46</v>
      </c>
    </row>
    <row r="135" spans="1:10" x14ac:dyDescent="0.35">
      <c r="A135" s="20" t="s">
        <v>201</v>
      </c>
      <c r="B135" s="9">
        <v>46232</v>
      </c>
      <c r="C135" s="7" t="s">
        <v>48</v>
      </c>
      <c r="D135" s="7" t="s">
        <v>52</v>
      </c>
      <c r="E135" s="7" t="s">
        <v>44</v>
      </c>
      <c r="F135" s="7" t="s">
        <v>45</v>
      </c>
      <c r="G135" s="7">
        <v>8</v>
      </c>
      <c r="H135" s="10">
        <v>55000</v>
      </c>
      <c r="I135" s="10">
        <f t="shared" si="2"/>
        <v>440000</v>
      </c>
      <c r="J135" s="21" t="s">
        <v>46</v>
      </c>
    </row>
    <row r="136" spans="1:10" x14ac:dyDescent="0.35">
      <c r="A136" s="20" t="s">
        <v>202</v>
      </c>
      <c r="B136" s="9">
        <v>46141</v>
      </c>
      <c r="C136" s="7" t="s">
        <v>42</v>
      </c>
      <c r="D136" s="7" t="s">
        <v>60</v>
      </c>
      <c r="E136" s="7" t="s">
        <v>44</v>
      </c>
      <c r="F136" s="7" t="s">
        <v>45</v>
      </c>
      <c r="G136" s="7">
        <v>8</v>
      </c>
      <c r="H136" s="10">
        <v>55000</v>
      </c>
      <c r="I136" s="10">
        <f t="shared" si="2"/>
        <v>440000</v>
      </c>
      <c r="J136" s="21" t="s">
        <v>46</v>
      </c>
    </row>
    <row r="137" spans="1:10" x14ac:dyDescent="0.35">
      <c r="A137" s="20" t="s">
        <v>203</v>
      </c>
      <c r="B137" s="9">
        <v>46158</v>
      </c>
      <c r="C137" s="7" t="s">
        <v>72</v>
      </c>
      <c r="D137" s="7" t="s">
        <v>62</v>
      </c>
      <c r="E137" s="7" t="s">
        <v>53</v>
      </c>
      <c r="F137" s="7" t="s">
        <v>54</v>
      </c>
      <c r="G137" s="7">
        <v>2</v>
      </c>
      <c r="H137" s="10">
        <v>22000</v>
      </c>
      <c r="I137" s="10">
        <f t="shared" si="2"/>
        <v>44000</v>
      </c>
      <c r="J137" s="21" t="s">
        <v>55</v>
      </c>
    </row>
    <row r="138" spans="1:10" x14ac:dyDescent="0.35">
      <c r="A138" s="20" t="s">
        <v>204</v>
      </c>
      <c r="B138" s="9">
        <v>46099</v>
      </c>
      <c r="C138" s="7" t="s">
        <v>42</v>
      </c>
      <c r="D138" s="7" t="s">
        <v>43</v>
      </c>
      <c r="E138" s="7" t="s">
        <v>53</v>
      </c>
      <c r="F138" s="7" t="s">
        <v>54</v>
      </c>
      <c r="G138" s="7">
        <v>2</v>
      </c>
      <c r="H138" s="10">
        <v>22000</v>
      </c>
      <c r="I138" s="10">
        <f t="shared" si="2"/>
        <v>44000</v>
      </c>
      <c r="J138" s="21" t="s">
        <v>46</v>
      </c>
    </row>
    <row r="139" spans="1:10" x14ac:dyDescent="0.35">
      <c r="A139" s="20" t="s">
        <v>205</v>
      </c>
      <c r="B139" s="9">
        <v>46180</v>
      </c>
      <c r="C139" s="7" t="s">
        <v>42</v>
      </c>
      <c r="D139" s="7" t="s">
        <v>62</v>
      </c>
      <c r="E139" s="7" t="s">
        <v>53</v>
      </c>
      <c r="F139" s="7" t="s">
        <v>54</v>
      </c>
      <c r="G139" s="7">
        <v>2</v>
      </c>
      <c r="H139" s="10">
        <v>22000</v>
      </c>
      <c r="I139" s="10">
        <f t="shared" si="2"/>
        <v>44000</v>
      </c>
      <c r="J139" s="21" t="s">
        <v>55</v>
      </c>
    </row>
    <row r="140" spans="1:10" x14ac:dyDescent="0.35">
      <c r="A140" s="20" t="s">
        <v>206</v>
      </c>
      <c r="B140" s="9">
        <v>46229</v>
      </c>
      <c r="C140" s="7" t="s">
        <v>42</v>
      </c>
      <c r="D140" s="7" t="s">
        <v>52</v>
      </c>
      <c r="E140" s="7" t="s">
        <v>63</v>
      </c>
      <c r="F140" s="7" t="s">
        <v>54</v>
      </c>
      <c r="G140" s="7">
        <v>9</v>
      </c>
      <c r="H140" s="10">
        <v>18000</v>
      </c>
      <c r="I140" s="10">
        <f t="shared" si="2"/>
        <v>162000</v>
      </c>
      <c r="J140" s="21" t="s">
        <v>55</v>
      </c>
    </row>
    <row r="141" spans="1:10" x14ac:dyDescent="0.35">
      <c r="A141" s="20" t="s">
        <v>207</v>
      </c>
      <c r="B141" s="9">
        <v>46064</v>
      </c>
      <c r="C141" s="7" t="s">
        <v>51</v>
      </c>
      <c r="D141" s="7" t="s">
        <v>62</v>
      </c>
      <c r="E141" s="7" t="s">
        <v>57</v>
      </c>
      <c r="F141" s="7" t="s">
        <v>58</v>
      </c>
      <c r="G141" s="7">
        <v>6</v>
      </c>
      <c r="H141" s="10">
        <v>2500</v>
      </c>
      <c r="I141" s="10">
        <f t="shared" si="2"/>
        <v>15000</v>
      </c>
      <c r="J141" s="21" t="s">
        <v>66</v>
      </c>
    </row>
    <row r="142" spans="1:10" x14ac:dyDescent="0.35">
      <c r="A142" s="20" t="s">
        <v>208</v>
      </c>
      <c r="B142" s="9">
        <v>46036</v>
      </c>
      <c r="C142" s="7" t="s">
        <v>51</v>
      </c>
      <c r="D142" s="7" t="s">
        <v>43</v>
      </c>
      <c r="E142" s="7" t="s">
        <v>63</v>
      </c>
      <c r="F142" s="7" t="s">
        <v>54</v>
      </c>
      <c r="G142" s="7">
        <v>10</v>
      </c>
      <c r="H142" s="10">
        <v>18000</v>
      </c>
      <c r="I142" s="10">
        <f t="shared" si="2"/>
        <v>180000</v>
      </c>
      <c r="J142" s="21" t="s">
        <v>66</v>
      </c>
    </row>
    <row r="143" spans="1:10" x14ac:dyDescent="0.35">
      <c r="A143" s="20" t="s">
        <v>209</v>
      </c>
      <c r="B143" s="9">
        <v>46160</v>
      </c>
      <c r="C143" s="7" t="s">
        <v>51</v>
      </c>
      <c r="D143" s="7" t="s">
        <v>210</v>
      </c>
      <c r="E143" s="7" t="s">
        <v>44</v>
      </c>
      <c r="F143" s="7" t="s">
        <v>45</v>
      </c>
      <c r="G143" s="7">
        <v>8</v>
      </c>
      <c r="H143" s="10">
        <v>55000</v>
      </c>
      <c r="I143" s="10">
        <f t="shared" si="2"/>
        <v>440000</v>
      </c>
      <c r="J143" s="21" t="s">
        <v>55</v>
      </c>
    </row>
    <row r="144" spans="1:10" x14ac:dyDescent="0.35">
      <c r="A144" s="20" t="s">
        <v>211</v>
      </c>
      <c r="B144" s="9">
        <v>46165</v>
      </c>
      <c r="C144" s="7" t="s">
        <v>72</v>
      </c>
      <c r="D144" s="7" t="s">
        <v>52</v>
      </c>
      <c r="E144" s="7" t="s">
        <v>57</v>
      </c>
      <c r="F144" s="7" t="s">
        <v>58</v>
      </c>
      <c r="G144" s="7">
        <v>7</v>
      </c>
      <c r="H144" s="10">
        <v>2500</v>
      </c>
      <c r="I144" s="10">
        <f t="shared" si="2"/>
        <v>17500</v>
      </c>
      <c r="J144" s="21" t="s">
        <v>55</v>
      </c>
    </row>
    <row r="145" spans="1:10" x14ac:dyDescent="0.35">
      <c r="A145" s="20" t="s">
        <v>212</v>
      </c>
      <c r="B145" s="9">
        <v>46263</v>
      </c>
      <c r="C145" s="7" t="s">
        <v>42</v>
      </c>
      <c r="D145" s="7" t="s">
        <v>62</v>
      </c>
      <c r="E145" s="7" t="s">
        <v>44</v>
      </c>
      <c r="F145" s="7" t="s">
        <v>45</v>
      </c>
      <c r="G145" s="7">
        <v>6</v>
      </c>
      <c r="H145" s="10">
        <v>55000</v>
      </c>
      <c r="I145" s="10">
        <f t="shared" si="2"/>
        <v>330000</v>
      </c>
      <c r="J145" s="21" t="s">
        <v>46</v>
      </c>
    </row>
    <row r="146" spans="1:10" x14ac:dyDescent="0.35">
      <c r="A146" s="20" t="s">
        <v>213</v>
      </c>
      <c r="B146" s="9">
        <v>46105</v>
      </c>
      <c r="C146" s="7" t="s">
        <v>42</v>
      </c>
      <c r="D146" s="7" t="s">
        <v>62</v>
      </c>
      <c r="E146" s="7" t="s">
        <v>44</v>
      </c>
      <c r="F146" s="7" t="s">
        <v>45</v>
      </c>
      <c r="G146" s="7">
        <v>8</v>
      </c>
      <c r="H146" s="10">
        <v>55000</v>
      </c>
      <c r="I146" s="10">
        <f t="shared" si="2"/>
        <v>440000</v>
      </c>
      <c r="J146" s="21" t="s">
        <v>46</v>
      </c>
    </row>
    <row r="147" spans="1:10" x14ac:dyDescent="0.35">
      <c r="A147" s="20" t="s">
        <v>214</v>
      </c>
      <c r="B147" s="9">
        <v>46041</v>
      </c>
      <c r="C147" s="7" t="s">
        <v>48</v>
      </c>
      <c r="D147" s="7" t="s">
        <v>49</v>
      </c>
      <c r="E147" s="7" t="s">
        <v>57</v>
      </c>
      <c r="F147" s="7" t="s">
        <v>58</v>
      </c>
      <c r="G147" s="7">
        <v>6</v>
      </c>
      <c r="H147" s="10">
        <v>2500</v>
      </c>
      <c r="I147" s="10">
        <f t="shared" si="2"/>
        <v>15000</v>
      </c>
      <c r="J147" s="21" t="s">
        <v>46</v>
      </c>
    </row>
    <row r="148" spans="1:10" x14ac:dyDescent="0.35">
      <c r="A148" s="20" t="s">
        <v>215</v>
      </c>
      <c r="B148" s="9">
        <v>46082</v>
      </c>
      <c r="C148" s="7" t="s">
        <v>48</v>
      </c>
      <c r="D148" s="7" t="s">
        <v>52</v>
      </c>
      <c r="E148" s="7" t="s">
        <v>63</v>
      </c>
      <c r="F148" s="7" t="s">
        <v>54</v>
      </c>
      <c r="G148" s="7">
        <v>1</v>
      </c>
      <c r="H148" s="10">
        <v>18000</v>
      </c>
      <c r="I148" s="10">
        <f t="shared" si="2"/>
        <v>18000</v>
      </c>
      <c r="J148" s="21" t="s">
        <v>55</v>
      </c>
    </row>
    <row r="149" spans="1:10" x14ac:dyDescent="0.35">
      <c r="A149" s="20" t="s">
        <v>216</v>
      </c>
      <c r="B149" s="9">
        <v>46234</v>
      </c>
      <c r="C149" s="7" t="s">
        <v>51</v>
      </c>
      <c r="D149" s="7" t="s">
        <v>43</v>
      </c>
      <c r="E149" s="7" t="s">
        <v>57</v>
      </c>
      <c r="F149" s="7" t="s">
        <v>58</v>
      </c>
      <c r="G149" s="7">
        <v>9</v>
      </c>
      <c r="H149" s="10">
        <v>2500</v>
      </c>
      <c r="I149" s="10">
        <f t="shared" si="2"/>
        <v>22500</v>
      </c>
      <c r="J149" s="21" t="s">
        <v>46</v>
      </c>
    </row>
    <row r="150" spans="1:10" x14ac:dyDescent="0.35">
      <c r="A150" s="20" t="s">
        <v>217</v>
      </c>
      <c r="B150" s="9">
        <v>46278</v>
      </c>
      <c r="C150" s="7" t="s">
        <v>48</v>
      </c>
      <c r="D150" s="7" t="s">
        <v>218</v>
      </c>
      <c r="E150" s="7" t="s">
        <v>73</v>
      </c>
      <c r="F150" s="7" t="s">
        <v>45</v>
      </c>
      <c r="G150" s="7">
        <v>4</v>
      </c>
      <c r="H150" s="10">
        <v>12000</v>
      </c>
      <c r="I150" s="10">
        <f t="shared" si="2"/>
        <v>48000</v>
      </c>
      <c r="J150" s="21" t="s">
        <v>46</v>
      </c>
    </row>
    <row r="151" spans="1:10" x14ac:dyDescent="0.35">
      <c r="A151" s="20" t="s">
        <v>219</v>
      </c>
      <c r="B151" s="9">
        <v>46090</v>
      </c>
      <c r="C151" s="7" t="s">
        <v>42</v>
      </c>
      <c r="D151" s="7" t="s">
        <v>62</v>
      </c>
      <c r="E151" s="7" t="s">
        <v>73</v>
      </c>
      <c r="F151" s="7" t="s">
        <v>45</v>
      </c>
      <c r="G151" s="7">
        <v>8</v>
      </c>
      <c r="H151" s="10">
        <v>12000</v>
      </c>
      <c r="I151" s="10">
        <f t="shared" si="2"/>
        <v>96000</v>
      </c>
      <c r="J151" s="21" t="s">
        <v>46</v>
      </c>
    </row>
    <row r="152" spans="1:10" x14ac:dyDescent="0.35">
      <c r="A152" s="20" t="s">
        <v>220</v>
      </c>
      <c r="B152" s="9">
        <v>46145</v>
      </c>
      <c r="C152" s="7" t="s">
        <v>72</v>
      </c>
      <c r="D152" s="7" t="s">
        <v>60</v>
      </c>
      <c r="E152" s="7" t="s">
        <v>44</v>
      </c>
      <c r="F152" s="7" t="s">
        <v>45</v>
      </c>
      <c r="G152" s="7">
        <v>9</v>
      </c>
      <c r="H152" s="10">
        <v>55000</v>
      </c>
      <c r="I152" s="10">
        <f t="shared" si="2"/>
        <v>495000</v>
      </c>
      <c r="J152" s="21" t="s">
        <v>46</v>
      </c>
    </row>
    <row r="153" spans="1:10" x14ac:dyDescent="0.35">
      <c r="A153" s="20" t="s">
        <v>221</v>
      </c>
      <c r="B153" s="9">
        <v>46231</v>
      </c>
      <c r="C153" s="7" t="s">
        <v>51</v>
      </c>
      <c r="D153" s="7" t="s">
        <v>43</v>
      </c>
      <c r="E153" s="7" t="s">
        <v>73</v>
      </c>
      <c r="F153" s="7" t="s">
        <v>45</v>
      </c>
      <c r="G153" s="7">
        <v>2</v>
      </c>
      <c r="H153" s="10">
        <v>12000</v>
      </c>
      <c r="I153" s="10">
        <f t="shared" si="2"/>
        <v>24000</v>
      </c>
      <c r="J153" s="21" t="s">
        <v>55</v>
      </c>
    </row>
    <row r="154" spans="1:10" x14ac:dyDescent="0.35">
      <c r="A154" s="20" t="s">
        <v>222</v>
      </c>
      <c r="B154" s="9">
        <v>46101</v>
      </c>
      <c r="C154" s="7" t="s">
        <v>223</v>
      </c>
      <c r="D154" s="7" t="s">
        <v>60</v>
      </c>
      <c r="E154" s="7" t="s">
        <v>44</v>
      </c>
      <c r="F154" s="7" t="s">
        <v>45</v>
      </c>
      <c r="G154" s="7">
        <v>9</v>
      </c>
      <c r="H154" s="10">
        <v>55000</v>
      </c>
      <c r="I154" s="10">
        <f t="shared" si="2"/>
        <v>495000</v>
      </c>
      <c r="J154" s="21" t="s">
        <v>46</v>
      </c>
    </row>
    <row r="155" spans="1:10" x14ac:dyDescent="0.35">
      <c r="A155" s="20" t="s">
        <v>224</v>
      </c>
      <c r="B155" s="9">
        <v>46270</v>
      </c>
      <c r="C155" s="7" t="s">
        <v>48</v>
      </c>
      <c r="D155" s="7" t="s">
        <v>43</v>
      </c>
      <c r="E155" s="7" t="s">
        <v>57</v>
      </c>
      <c r="F155" s="7" t="s">
        <v>58</v>
      </c>
      <c r="G155" s="7">
        <v>8</v>
      </c>
      <c r="H155" s="10">
        <v>2500</v>
      </c>
      <c r="I155" s="10">
        <f t="shared" si="2"/>
        <v>20000</v>
      </c>
      <c r="J155" s="21" t="s">
        <v>55</v>
      </c>
    </row>
    <row r="156" spans="1:10" x14ac:dyDescent="0.35">
      <c r="A156" s="20" t="s">
        <v>225</v>
      </c>
      <c r="B156" s="9">
        <v>46219</v>
      </c>
      <c r="C156" s="7" t="s">
        <v>72</v>
      </c>
      <c r="D156" s="7" t="s">
        <v>52</v>
      </c>
      <c r="E156" s="7" t="s">
        <v>53</v>
      </c>
      <c r="F156" s="7" t="s">
        <v>54</v>
      </c>
      <c r="G156" s="7">
        <v>9</v>
      </c>
      <c r="H156" s="10">
        <v>22000</v>
      </c>
      <c r="I156" s="10">
        <f t="shared" si="2"/>
        <v>198000</v>
      </c>
      <c r="J156" s="21" t="s">
        <v>46</v>
      </c>
    </row>
    <row r="157" spans="1:10" x14ac:dyDescent="0.35">
      <c r="A157" s="20" t="s">
        <v>226</v>
      </c>
      <c r="B157" s="9">
        <v>46164</v>
      </c>
      <c r="C157" s="7" t="s">
        <v>48</v>
      </c>
      <c r="D157" s="7" t="s">
        <v>60</v>
      </c>
      <c r="E157" s="7" t="s">
        <v>44</v>
      </c>
      <c r="F157" s="7" t="s">
        <v>45</v>
      </c>
      <c r="G157" s="7">
        <v>9</v>
      </c>
      <c r="H157" s="10">
        <v>55000</v>
      </c>
      <c r="I157" s="10">
        <f t="shared" si="2"/>
        <v>495000</v>
      </c>
      <c r="J157" s="21" t="s">
        <v>46</v>
      </c>
    </row>
    <row r="158" spans="1:10" x14ac:dyDescent="0.35">
      <c r="A158" s="20" t="s">
        <v>227</v>
      </c>
      <c r="B158" s="9">
        <v>46167</v>
      </c>
      <c r="C158" s="7" t="s">
        <v>42</v>
      </c>
      <c r="D158" s="7" t="s">
        <v>52</v>
      </c>
      <c r="E158" s="7" t="s">
        <v>44</v>
      </c>
      <c r="F158" s="7" t="s">
        <v>45</v>
      </c>
      <c r="G158" s="7">
        <v>10</v>
      </c>
      <c r="H158" s="10">
        <v>55000</v>
      </c>
      <c r="I158" s="10">
        <f t="shared" si="2"/>
        <v>550000</v>
      </c>
      <c r="J158" s="21" t="s">
        <v>55</v>
      </c>
    </row>
    <row r="159" spans="1:10" x14ac:dyDescent="0.35">
      <c r="A159" s="20" t="s">
        <v>228</v>
      </c>
      <c r="B159" s="9">
        <v>46251</v>
      </c>
      <c r="C159" s="7" t="s">
        <v>223</v>
      </c>
      <c r="D159" s="7" t="s">
        <v>60</v>
      </c>
      <c r="E159" s="7" t="s">
        <v>53</v>
      </c>
      <c r="F159" s="7" t="s">
        <v>54</v>
      </c>
      <c r="G159" s="7">
        <v>6</v>
      </c>
      <c r="H159" s="10">
        <v>22000</v>
      </c>
      <c r="I159" s="10">
        <f t="shared" si="2"/>
        <v>132000</v>
      </c>
      <c r="J159" s="21" t="s">
        <v>55</v>
      </c>
    </row>
    <row r="160" spans="1:10" x14ac:dyDescent="0.35">
      <c r="A160" s="20" t="s">
        <v>229</v>
      </c>
      <c r="B160" s="9">
        <v>46216</v>
      </c>
      <c r="C160" s="7" t="s">
        <v>48</v>
      </c>
      <c r="D160" s="7" t="s">
        <v>60</v>
      </c>
      <c r="E160" s="7" t="s">
        <v>73</v>
      </c>
      <c r="F160" s="7" t="s">
        <v>45</v>
      </c>
      <c r="G160" s="7">
        <v>4</v>
      </c>
      <c r="H160" s="10">
        <v>12000</v>
      </c>
      <c r="I160" s="10">
        <f t="shared" si="2"/>
        <v>48000</v>
      </c>
      <c r="J160" s="21" t="s">
        <v>46</v>
      </c>
    </row>
    <row r="161" spans="1:10" x14ac:dyDescent="0.35">
      <c r="A161" s="20" t="s">
        <v>230</v>
      </c>
      <c r="B161" s="9">
        <v>46219</v>
      </c>
      <c r="C161" s="7" t="s">
        <v>72</v>
      </c>
      <c r="D161" s="7" t="s">
        <v>62</v>
      </c>
      <c r="E161" s="7" t="s">
        <v>73</v>
      </c>
      <c r="F161" s="7" t="s">
        <v>45</v>
      </c>
      <c r="G161" s="7">
        <v>1</v>
      </c>
      <c r="H161" s="10">
        <v>12000</v>
      </c>
      <c r="I161" s="10">
        <f t="shared" si="2"/>
        <v>12000</v>
      </c>
      <c r="J161" s="21" t="s">
        <v>46</v>
      </c>
    </row>
    <row r="162" spans="1:10" x14ac:dyDescent="0.35">
      <c r="A162" s="20" t="s">
        <v>231</v>
      </c>
      <c r="B162" s="9">
        <v>46218</v>
      </c>
      <c r="C162" s="7" t="s">
        <v>48</v>
      </c>
      <c r="D162" s="7" t="s">
        <v>43</v>
      </c>
      <c r="E162" s="7" t="s">
        <v>57</v>
      </c>
      <c r="F162" s="7" t="s">
        <v>58</v>
      </c>
      <c r="G162" s="7">
        <v>8</v>
      </c>
      <c r="H162" s="10">
        <v>2500</v>
      </c>
      <c r="I162" s="10">
        <f t="shared" si="2"/>
        <v>20000</v>
      </c>
      <c r="J162" s="21" t="s">
        <v>46</v>
      </c>
    </row>
    <row r="163" spans="1:10" x14ac:dyDescent="0.35">
      <c r="A163" s="20" t="s">
        <v>232</v>
      </c>
      <c r="B163" s="9">
        <v>46280</v>
      </c>
      <c r="C163" s="7" t="s">
        <v>42</v>
      </c>
      <c r="D163" s="7" t="s">
        <v>49</v>
      </c>
      <c r="E163" s="7" t="s">
        <v>53</v>
      </c>
      <c r="F163" s="7" t="s">
        <v>54</v>
      </c>
      <c r="G163" s="7">
        <v>8</v>
      </c>
      <c r="H163" s="10">
        <v>22000</v>
      </c>
      <c r="I163" s="10">
        <f t="shared" si="2"/>
        <v>176000</v>
      </c>
      <c r="J163" s="21" t="s">
        <v>46</v>
      </c>
    </row>
    <row r="164" spans="1:10" x14ac:dyDescent="0.35">
      <c r="A164" s="20" t="s">
        <v>233</v>
      </c>
      <c r="B164" s="9">
        <v>46256</v>
      </c>
      <c r="C164" s="7" t="s">
        <v>51</v>
      </c>
      <c r="D164" s="7" t="s">
        <v>43</v>
      </c>
      <c r="E164" s="7" t="s">
        <v>73</v>
      </c>
      <c r="F164" s="7" t="s">
        <v>45</v>
      </c>
      <c r="G164" s="7">
        <v>7</v>
      </c>
      <c r="H164" s="10">
        <v>12000</v>
      </c>
      <c r="I164" s="10">
        <f t="shared" si="2"/>
        <v>84000</v>
      </c>
      <c r="J164" s="21" t="s">
        <v>46</v>
      </c>
    </row>
    <row r="165" spans="1:10" x14ac:dyDescent="0.35">
      <c r="A165" s="20" t="s">
        <v>234</v>
      </c>
      <c r="B165" s="9">
        <v>46263</v>
      </c>
      <c r="C165" s="7" t="s">
        <v>42</v>
      </c>
      <c r="D165" s="7" t="s">
        <v>60</v>
      </c>
      <c r="E165" s="7" t="s">
        <v>44</v>
      </c>
      <c r="F165" s="7" t="s">
        <v>45</v>
      </c>
      <c r="G165" s="7">
        <v>10</v>
      </c>
      <c r="H165" s="10">
        <v>55000</v>
      </c>
      <c r="I165" s="10">
        <f t="shared" si="2"/>
        <v>550000</v>
      </c>
      <c r="J165" s="21" t="s">
        <v>46</v>
      </c>
    </row>
    <row r="166" spans="1:10" x14ac:dyDescent="0.35">
      <c r="A166" s="20" t="s">
        <v>235</v>
      </c>
      <c r="B166" s="9">
        <v>46191</v>
      </c>
      <c r="C166" s="7" t="s">
        <v>48</v>
      </c>
      <c r="D166" s="7" t="s">
        <v>60</v>
      </c>
      <c r="E166" s="7" t="s">
        <v>44</v>
      </c>
      <c r="F166" s="7" t="s">
        <v>45</v>
      </c>
      <c r="G166" s="7">
        <v>8</v>
      </c>
      <c r="H166" s="10">
        <v>55000</v>
      </c>
      <c r="I166" s="10">
        <f t="shared" si="2"/>
        <v>440000</v>
      </c>
      <c r="J166" s="21" t="s">
        <v>55</v>
      </c>
    </row>
    <row r="167" spans="1:10" x14ac:dyDescent="0.35">
      <c r="A167" s="20" t="s">
        <v>236</v>
      </c>
      <c r="B167" s="9">
        <v>46058</v>
      </c>
      <c r="C167" s="7" t="s">
        <v>88</v>
      </c>
      <c r="D167" s="7" t="s">
        <v>60</v>
      </c>
      <c r="E167" s="7" t="s">
        <v>44</v>
      </c>
      <c r="F167" s="7" t="s">
        <v>45</v>
      </c>
      <c r="G167" s="7">
        <v>4</v>
      </c>
      <c r="H167" s="10">
        <v>55000</v>
      </c>
      <c r="I167" s="10">
        <f t="shared" si="2"/>
        <v>220000</v>
      </c>
      <c r="J167" s="21" t="s">
        <v>46</v>
      </c>
    </row>
    <row r="168" spans="1:10" x14ac:dyDescent="0.35">
      <c r="A168" s="20" t="s">
        <v>237</v>
      </c>
      <c r="B168" s="9">
        <v>46073</v>
      </c>
      <c r="C168" s="7" t="s">
        <v>51</v>
      </c>
      <c r="D168" s="7" t="s">
        <v>62</v>
      </c>
      <c r="E168" s="7" t="s">
        <v>57</v>
      </c>
      <c r="F168" s="7" t="s">
        <v>58</v>
      </c>
      <c r="G168" s="7">
        <v>3</v>
      </c>
      <c r="H168" s="10">
        <v>2500</v>
      </c>
      <c r="I168" s="10">
        <f t="shared" si="2"/>
        <v>7500</v>
      </c>
      <c r="J168" s="21" t="s">
        <v>46</v>
      </c>
    </row>
    <row r="169" spans="1:10" x14ac:dyDescent="0.35">
      <c r="A169" s="20" t="s">
        <v>238</v>
      </c>
      <c r="B169" s="9">
        <v>46046</v>
      </c>
      <c r="C169" s="7" t="s">
        <v>42</v>
      </c>
      <c r="D169" s="7" t="s">
        <v>49</v>
      </c>
      <c r="E169" s="7" t="s">
        <v>44</v>
      </c>
      <c r="F169" s="7" t="s">
        <v>45</v>
      </c>
      <c r="G169" s="7">
        <v>5</v>
      </c>
      <c r="H169" s="10">
        <v>55000</v>
      </c>
      <c r="I169" s="10">
        <f t="shared" si="2"/>
        <v>275000</v>
      </c>
      <c r="J169" s="21" t="s">
        <v>46</v>
      </c>
    </row>
    <row r="170" spans="1:10" x14ac:dyDescent="0.35">
      <c r="A170" s="20" t="s">
        <v>239</v>
      </c>
      <c r="B170" s="9">
        <v>46243</v>
      </c>
      <c r="C170" s="7" t="s">
        <v>72</v>
      </c>
      <c r="D170" s="7" t="s">
        <v>43</v>
      </c>
      <c r="E170" s="7" t="s">
        <v>63</v>
      </c>
      <c r="F170" s="7" t="s">
        <v>54</v>
      </c>
      <c r="G170" s="7">
        <v>9</v>
      </c>
      <c r="H170" s="10">
        <v>18000</v>
      </c>
      <c r="I170" s="10">
        <f t="shared" si="2"/>
        <v>162000</v>
      </c>
      <c r="J170" s="21" t="s">
        <v>46</v>
      </c>
    </row>
    <row r="171" spans="1:10" x14ac:dyDescent="0.35">
      <c r="A171" s="20" t="s">
        <v>240</v>
      </c>
      <c r="B171" s="9">
        <v>46115</v>
      </c>
      <c r="C171" s="7" t="s">
        <v>72</v>
      </c>
      <c r="D171" s="7" t="s">
        <v>43</v>
      </c>
      <c r="E171" s="7" t="s">
        <v>73</v>
      </c>
      <c r="F171" s="7" t="s">
        <v>45</v>
      </c>
      <c r="G171" s="7">
        <v>2</v>
      </c>
      <c r="H171" s="10">
        <v>12000</v>
      </c>
      <c r="I171" s="10">
        <f t="shared" si="2"/>
        <v>24000</v>
      </c>
      <c r="J171" s="21" t="s">
        <v>66</v>
      </c>
    </row>
    <row r="172" spans="1:10" x14ac:dyDescent="0.35">
      <c r="A172" s="20" t="s">
        <v>241</v>
      </c>
      <c r="B172" s="9">
        <v>46146</v>
      </c>
      <c r="C172" s="7" t="s">
        <v>48</v>
      </c>
      <c r="D172" s="7" t="s">
        <v>52</v>
      </c>
      <c r="E172" s="7" t="s">
        <v>57</v>
      </c>
      <c r="F172" s="7" t="s">
        <v>58</v>
      </c>
      <c r="G172" s="7">
        <v>3</v>
      </c>
      <c r="H172" s="10">
        <v>2500</v>
      </c>
      <c r="I172" s="10">
        <f t="shared" si="2"/>
        <v>7500</v>
      </c>
      <c r="J172" s="21" t="s">
        <v>46</v>
      </c>
    </row>
    <row r="173" spans="1:10" x14ac:dyDescent="0.35">
      <c r="A173" s="20" t="s">
        <v>242</v>
      </c>
      <c r="B173" s="9">
        <v>46153</v>
      </c>
      <c r="C173" s="7" t="s">
        <v>48</v>
      </c>
      <c r="D173" s="7" t="s">
        <v>60</v>
      </c>
      <c r="E173" s="7" t="s">
        <v>57</v>
      </c>
      <c r="F173" s="7" t="s">
        <v>58</v>
      </c>
      <c r="G173" s="7">
        <v>1</v>
      </c>
      <c r="H173" s="10">
        <v>2500</v>
      </c>
      <c r="I173" s="10">
        <f t="shared" si="2"/>
        <v>2500</v>
      </c>
      <c r="J173" s="21" t="s">
        <v>55</v>
      </c>
    </row>
    <row r="174" spans="1:10" x14ac:dyDescent="0.35">
      <c r="A174" s="20" t="s">
        <v>243</v>
      </c>
      <c r="B174" s="9">
        <v>46103</v>
      </c>
      <c r="C174" s="7" t="s">
        <v>51</v>
      </c>
      <c r="D174" s="7" t="s">
        <v>62</v>
      </c>
      <c r="E174" s="7" t="s">
        <v>63</v>
      </c>
      <c r="F174" s="7" t="s">
        <v>54</v>
      </c>
      <c r="G174" s="7">
        <v>6</v>
      </c>
      <c r="H174" s="10">
        <v>18000</v>
      </c>
      <c r="I174" s="10">
        <f t="shared" si="2"/>
        <v>108000</v>
      </c>
      <c r="J174" s="21" t="s">
        <v>66</v>
      </c>
    </row>
    <row r="175" spans="1:10" x14ac:dyDescent="0.35">
      <c r="A175" s="20" t="s">
        <v>244</v>
      </c>
      <c r="B175" s="9">
        <v>46240</v>
      </c>
      <c r="C175" s="7" t="s">
        <v>42</v>
      </c>
      <c r="D175" s="7" t="s">
        <v>62</v>
      </c>
      <c r="E175" s="7" t="s">
        <v>63</v>
      </c>
      <c r="F175" s="7" t="s">
        <v>54</v>
      </c>
      <c r="G175" s="7">
        <v>5</v>
      </c>
      <c r="H175" s="10">
        <v>18000</v>
      </c>
      <c r="I175" s="10">
        <f t="shared" si="2"/>
        <v>90000</v>
      </c>
      <c r="J175" s="21" t="s">
        <v>46</v>
      </c>
    </row>
    <row r="176" spans="1:10" x14ac:dyDescent="0.35">
      <c r="A176" s="20" t="s">
        <v>245</v>
      </c>
      <c r="B176" s="9">
        <v>46270</v>
      </c>
      <c r="C176" s="7" t="s">
        <v>51</v>
      </c>
      <c r="D176" s="7" t="s">
        <v>43</v>
      </c>
      <c r="E176" s="7" t="s">
        <v>57</v>
      </c>
      <c r="F176" s="7" t="s">
        <v>58</v>
      </c>
      <c r="G176" s="7">
        <v>7</v>
      </c>
      <c r="H176" s="10">
        <v>2500</v>
      </c>
      <c r="I176" s="10">
        <f t="shared" si="2"/>
        <v>17500</v>
      </c>
      <c r="J176" s="21" t="s">
        <v>66</v>
      </c>
    </row>
    <row r="177" spans="1:10" x14ac:dyDescent="0.35">
      <c r="A177" s="20" t="s">
        <v>246</v>
      </c>
      <c r="B177" s="9">
        <v>46174</v>
      </c>
      <c r="C177" s="7" t="s">
        <v>42</v>
      </c>
      <c r="D177" s="7" t="s">
        <v>49</v>
      </c>
      <c r="E177" s="7" t="s">
        <v>63</v>
      </c>
      <c r="F177" s="7" t="s">
        <v>54</v>
      </c>
      <c r="G177" s="7">
        <v>7</v>
      </c>
      <c r="H177" s="10">
        <v>18000</v>
      </c>
      <c r="I177" s="10">
        <f t="shared" si="2"/>
        <v>126000</v>
      </c>
      <c r="J177" s="21" t="s">
        <v>46</v>
      </c>
    </row>
    <row r="178" spans="1:10" x14ac:dyDescent="0.35">
      <c r="A178" s="20" t="s">
        <v>247</v>
      </c>
      <c r="B178" s="9">
        <v>46048</v>
      </c>
      <c r="C178" s="7" t="s">
        <v>48</v>
      </c>
      <c r="D178" s="7" t="s">
        <v>60</v>
      </c>
      <c r="E178" s="7" t="s">
        <v>44</v>
      </c>
      <c r="F178" s="7" t="s">
        <v>45</v>
      </c>
      <c r="G178" s="7">
        <v>4</v>
      </c>
      <c r="H178" s="10">
        <v>55000</v>
      </c>
      <c r="I178" s="10">
        <f t="shared" si="2"/>
        <v>220000</v>
      </c>
      <c r="J178" s="21" t="s">
        <v>66</v>
      </c>
    </row>
    <row r="179" spans="1:10" x14ac:dyDescent="0.35">
      <c r="A179" s="20" t="s">
        <v>248</v>
      </c>
      <c r="B179" s="9">
        <v>46135</v>
      </c>
      <c r="C179" s="7" t="s">
        <v>72</v>
      </c>
      <c r="D179" s="7" t="s">
        <v>52</v>
      </c>
      <c r="E179" s="7" t="s">
        <v>63</v>
      </c>
      <c r="F179" s="7" t="s">
        <v>54</v>
      </c>
      <c r="G179" s="7">
        <v>5</v>
      </c>
      <c r="H179" s="10">
        <v>18000</v>
      </c>
      <c r="I179" s="10">
        <f t="shared" si="2"/>
        <v>90000</v>
      </c>
      <c r="J179" s="21" t="s">
        <v>46</v>
      </c>
    </row>
    <row r="180" spans="1:10" x14ac:dyDescent="0.35">
      <c r="A180" s="20" t="s">
        <v>249</v>
      </c>
      <c r="B180" s="9">
        <v>46043</v>
      </c>
      <c r="C180" s="7" t="s">
        <v>42</v>
      </c>
      <c r="D180" s="7" t="s">
        <v>62</v>
      </c>
      <c r="E180" s="7" t="s">
        <v>44</v>
      </c>
      <c r="F180" s="7" t="s">
        <v>45</v>
      </c>
      <c r="G180" s="7">
        <v>1</v>
      </c>
      <c r="H180" s="10">
        <v>55000</v>
      </c>
      <c r="I180" s="10">
        <f t="shared" si="2"/>
        <v>55000</v>
      </c>
      <c r="J180" s="21" t="s">
        <v>66</v>
      </c>
    </row>
    <row r="181" spans="1:10" x14ac:dyDescent="0.35">
      <c r="A181" s="20" t="s">
        <v>250</v>
      </c>
      <c r="B181" s="9">
        <v>46090</v>
      </c>
      <c r="C181" s="7" t="s">
        <v>51</v>
      </c>
      <c r="D181" s="7" t="s">
        <v>60</v>
      </c>
      <c r="E181" s="7" t="s">
        <v>63</v>
      </c>
      <c r="F181" s="7" t="s">
        <v>54</v>
      </c>
      <c r="G181" s="7">
        <v>6</v>
      </c>
      <c r="H181" s="10">
        <v>18000</v>
      </c>
      <c r="I181" s="10">
        <f t="shared" si="2"/>
        <v>108000</v>
      </c>
      <c r="J181" s="21" t="s">
        <v>46</v>
      </c>
    </row>
    <row r="182" spans="1:10" x14ac:dyDescent="0.35">
      <c r="A182" s="20" t="s">
        <v>251</v>
      </c>
      <c r="B182" s="9">
        <v>46125</v>
      </c>
      <c r="C182" s="7" t="s">
        <v>72</v>
      </c>
      <c r="D182" s="7" t="s">
        <v>52</v>
      </c>
      <c r="E182" s="7" t="s">
        <v>53</v>
      </c>
      <c r="F182" s="7" t="s">
        <v>54</v>
      </c>
      <c r="G182" s="7">
        <v>6</v>
      </c>
      <c r="H182" s="10">
        <v>22000</v>
      </c>
      <c r="I182" s="10">
        <f t="shared" si="2"/>
        <v>132000</v>
      </c>
      <c r="J182" s="21" t="s">
        <v>55</v>
      </c>
    </row>
    <row r="183" spans="1:10" x14ac:dyDescent="0.35">
      <c r="A183" s="20" t="s">
        <v>252</v>
      </c>
      <c r="B183" s="9">
        <v>46162</v>
      </c>
      <c r="C183" s="7" t="s">
        <v>72</v>
      </c>
      <c r="D183" s="7" t="s">
        <v>60</v>
      </c>
      <c r="E183" s="7" t="s">
        <v>73</v>
      </c>
      <c r="F183" s="7" t="s">
        <v>45</v>
      </c>
      <c r="G183" s="7">
        <v>8</v>
      </c>
      <c r="H183" s="10">
        <v>12000</v>
      </c>
      <c r="I183" s="10">
        <f t="shared" si="2"/>
        <v>96000</v>
      </c>
      <c r="J183" s="21" t="s">
        <v>46</v>
      </c>
    </row>
    <row r="184" spans="1:10" x14ac:dyDescent="0.35">
      <c r="A184" s="20" t="s">
        <v>253</v>
      </c>
      <c r="B184" s="9">
        <v>46081</v>
      </c>
      <c r="C184" s="7" t="s">
        <v>48</v>
      </c>
      <c r="D184" s="7" t="s">
        <v>49</v>
      </c>
      <c r="E184" s="7" t="s">
        <v>63</v>
      </c>
      <c r="F184" s="7" t="s">
        <v>54</v>
      </c>
      <c r="G184" s="7">
        <v>3</v>
      </c>
      <c r="H184" s="10">
        <v>18000</v>
      </c>
      <c r="I184" s="10">
        <f t="shared" si="2"/>
        <v>54000</v>
      </c>
      <c r="J184" s="21" t="s">
        <v>46</v>
      </c>
    </row>
    <row r="185" spans="1:10" x14ac:dyDescent="0.35">
      <c r="A185" s="20" t="s">
        <v>254</v>
      </c>
      <c r="B185" s="9">
        <v>46210</v>
      </c>
      <c r="C185" s="7" t="s">
        <v>51</v>
      </c>
      <c r="D185" s="7" t="s">
        <v>62</v>
      </c>
      <c r="E185" s="7" t="s">
        <v>57</v>
      </c>
      <c r="F185" s="7" t="s">
        <v>58</v>
      </c>
      <c r="G185" s="7">
        <v>1</v>
      </c>
      <c r="H185" s="10">
        <v>2500</v>
      </c>
      <c r="I185" s="10">
        <f t="shared" si="2"/>
        <v>2500</v>
      </c>
      <c r="J185" s="21" t="s">
        <v>46</v>
      </c>
    </row>
    <row r="186" spans="1:10" x14ac:dyDescent="0.35">
      <c r="A186" s="20" t="s">
        <v>255</v>
      </c>
      <c r="B186" s="9">
        <v>46086</v>
      </c>
      <c r="C186" s="7" t="s">
        <v>48</v>
      </c>
      <c r="D186" s="7" t="s">
        <v>60</v>
      </c>
      <c r="E186" s="7" t="s">
        <v>73</v>
      </c>
      <c r="F186" s="7" t="s">
        <v>45</v>
      </c>
      <c r="G186" s="7">
        <v>5</v>
      </c>
      <c r="H186" s="10">
        <v>12000</v>
      </c>
      <c r="I186" s="10">
        <f t="shared" si="2"/>
        <v>60000</v>
      </c>
      <c r="J186" s="21" t="s">
        <v>66</v>
      </c>
    </row>
    <row r="187" spans="1:10" x14ac:dyDescent="0.35">
      <c r="A187" s="20" t="s">
        <v>256</v>
      </c>
      <c r="B187" s="9">
        <v>46213</v>
      </c>
      <c r="C187" s="7" t="s">
        <v>51</v>
      </c>
      <c r="D187" s="7" t="s">
        <v>43</v>
      </c>
      <c r="E187" s="7" t="s">
        <v>57</v>
      </c>
      <c r="F187" s="7" t="s">
        <v>58</v>
      </c>
      <c r="G187" s="7">
        <v>8</v>
      </c>
      <c r="H187" s="10">
        <v>2500</v>
      </c>
      <c r="I187" s="10">
        <f t="shared" si="2"/>
        <v>20000</v>
      </c>
      <c r="J187" s="21" t="s">
        <v>46</v>
      </c>
    </row>
    <row r="188" spans="1:10" x14ac:dyDescent="0.35">
      <c r="A188" s="20" t="s">
        <v>257</v>
      </c>
      <c r="B188" s="9">
        <v>46190</v>
      </c>
      <c r="C188" s="7" t="s">
        <v>72</v>
      </c>
      <c r="D188" s="7" t="s">
        <v>49</v>
      </c>
      <c r="E188" s="7" t="s">
        <v>73</v>
      </c>
      <c r="F188" s="7" t="s">
        <v>45</v>
      </c>
      <c r="G188" s="7">
        <v>8</v>
      </c>
      <c r="H188" s="10">
        <v>12000</v>
      </c>
      <c r="I188" s="10">
        <f t="shared" si="2"/>
        <v>96000</v>
      </c>
      <c r="J188" s="21" t="s">
        <v>46</v>
      </c>
    </row>
    <row r="189" spans="1:10" x14ac:dyDescent="0.35">
      <c r="A189" s="20" t="s">
        <v>258</v>
      </c>
      <c r="B189" s="9">
        <v>46082</v>
      </c>
      <c r="C189" s="7" t="s">
        <v>72</v>
      </c>
      <c r="D189" s="7" t="s">
        <v>49</v>
      </c>
      <c r="E189" s="7" t="s">
        <v>57</v>
      </c>
      <c r="F189" s="7" t="s">
        <v>58</v>
      </c>
      <c r="G189" s="7">
        <v>1</v>
      </c>
      <c r="H189" s="10">
        <v>2500</v>
      </c>
      <c r="I189" s="10">
        <f t="shared" si="2"/>
        <v>2500</v>
      </c>
      <c r="J189" s="21" t="s">
        <v>46</v>
      </c>
    </row>
    <row r="190" spans="1:10" x14ac:dyDescent="0.35">
      <c r="A190" s="20" t="s">
        <v>259</v>
      </c>
      <c r="B190" s="9">
        <v>46082</v>
      </c>
      <c r="C190" s="7" t="s">
        <v>51</v>
      </c>
      <c r="D190" s="7" t="s">
        <v>43</v>
      </c>
      <c r="E190" s="7" t="s">
        <v>57</v>
      </c>
      <c r="F190" s="7" t="s">
        <v>58</v>
      </c>
      <c r="G190" s="7">
        <v>9</v>
      </c>
      <c r="H190" s="10">
        <v>2500</v>
      </c>
      <c r="I190" s="10">
        <f t="shared" si="2"/>
        <v>22500</v>
      </c>
      <c r="J190" s="21" t="s">
        <v>46</v>
      </c>
    </row>
    <row r="191" spans="1:10" x14ac:dyDescent="0.35">
      <c r="A191" s="20" t="s">
        <v>260</v>
      </c>
      <c r="B191" s="9">
        <v>46255</v>
      </c>
      <c r="C191" s="7" t="s">
        <v>42</v>
      </c>
      <c r="D191" s="7" t="s">
        <v>185</v>
      </c>
      <c r="E191" s="7" t="s">
        <v>57</v>
      </c>
      <c r="F191" s="7" t="s">
        <v>58</v>
      </c>
      <c r="G191" s="7">
        <v>7</v>
      </c>
      <c r="H191" s="10">
        <v>2500</v>
      </c>
      <c r="I191" s="10">
        <f t="shared" si="2"/>
        <v>17500</v>
      </c>
      <c r="J191" s="21" t="s">
        <v>66</v>
      </c>
    </row>
    <row r="192" spans="1:10" x14ac:dyDescent="0.35">
      <c r="A192" s="20" t="s">
        <v>261</v>
      </c>
      <c r="B192" s="9">
        <v>46235</v>
      </c>
      <c r="C192" s="7" t="s">
        <v>51</v>
      </c>
      <c r="D192" s="7" t="s">
        <v>62</v>
      </c>
      <c r="E192" s="7" t="s">
        <v>53</v>
      </c>
      <c r="F192" s="7" t="s">
        <v>54</v>
      </c>
      <c r="G192" s="7">
        <v>10</v>
      </c>
      <c r="H192" s="10">
        <v>22000</v>
      </c>
      <c r="I192" s="10">
        <f t="shared" si="2"/>
        <v>220000</v>
      </c>
      <c r="J192" s="21" t="s">
        <v>46</v>
      </c>
    </row>
    <row r="193" spans="1:10" x14ac:dyDescent="0.35">
      <c r="A193" s="20" t="s">
        <v>262</v>
      </c>
      <c r="B193" s="9">
        <v>46039</v>
      </c>
      <c r="C193" s="7" t="s">
        <v>42</v>
      </c>
      <c r="D193" s="7" t="s">
        <v>43</v>
      </c>
      <c r="E193" s="7" t="s">
        <v>63</v>
      </c>
      <c r="F193" s="7" t="s">
        <v>54</v>
      </c>
      <c r="G193" s="7">
        <v>8</v>
      </c>
      <c r="H193" s="10">
        <v>18000</v>
      </c>
      <c r="I193" s="10">
        <f t="shared" si="2"/>
        <v>144000</v>
      </c>
      <c r="J193" s="21" t="s">
        <v>55</v>
      </c>
    </row>
    <row r="194" spans="1:10" x14ac:dyDescent="0.35">
      <c r="A194" s="20" t="s">
        <v>263</v>
      </c>
      <c r="B194" s="9">
        <v>46208</v>
      </c>
      <c r="C194" s="7" t="s">
        <v>51</v>
      </c>
      <c r="D194" s="7" t="s">
        <v>60</v>
      </c>
      <c r="E194" s="7" t="s">
        <v>53</v>
      </c>
      <c r="F194" s="7" t="s">
        <v>54</v>
      </c>
      <c r="G194" s="7">
        <v>9</v>
      </c>
      <c r="H194" s="10">
        <v>22000</v>
      </c>
      <c r="I194" s="10">
        <f t="shared" ref="I194:I249" si="3">G194*H194</f>
        <v>198000</v>
      </c>
      <c r="J194" s="21" t="s">
        <v>46</v>
      </c>
    </row>
    <row r="195" spans="1:10" x14ac:dyDescent="0.35">
      <c r="A195" s="20" t="s">
        <v>264</v>
      </c>
      <c r="B195" s="9">
        <v>46226</v>
      </c>
      <c r="C195" s="7" t="s">
        <v>42</v>
      </c>
      <c r="D195" s="7" t="s">
        <v>43</v>
      </c>
      <c r="E195" s="7" t="s">
        <v>44</v>
      </c>
      <c r="F195" s="7" t="s">
        <v>45</v>
      </c>
      <c r="G195" s="7">
        <v>2</v>
      </c>
      <c r="H195" s="10">
        <v>55000</v>
      </c>
      <c r="I195" s="10">
        <f t="shared" si="3"/>
        <v>110000</v>
      </c>
      <c r="J195" s="21" t="s">
        <v>55</v>
      </c>
    </row>
    <row r="196" spans="1:10" x14ac:dyDescent="0.35">
      <c r="A196" s="20" t="s">
        <v>265</v>
      </c>
      <c r="B196" s="9">
        <v>46131</v>
      </c>
      <c r="C196" s="7" t="s">
        <v>51</v>
      </c>
      <c r="D196" s="7" t="s">
        <v>49</v>
      </c>
      <c r="E196" s="7" t="s">
        <v>44</v>
      </c>
      <c r="F196" s="7" t="s">
        <v>45</v>
      </c>
      <c r="G196" s="7">
        <v>6</v>
      </c>
      <c r="H196" s="10">
        <v>55000</v>
      </c>
      <c r="I196" s="10">
        <f t="shared" si="3"/>
        <v>330000</v>
      </c>
      <c r="J196" s="21" t="s">
        <v>46</v>
      </c>
    </row>
    <row r="197" spans="1:10" x14ac:dyDescent="0.35">
      <c r="A197" s="20" t="s">
        <v>266</v>
      </c>
      <c r="B197" s="9">
        <v>46128</v>
      </c>
      <c r="C197" s="7" t="s">
        <v>51</v>
      </c>
      <c r="D197" s="7" t="s">
        <v>52</v>
      </c>
      <c r="E197" s="7" t="s">
        <v>53</v>
      </c>
      <c r="F197" s="7" t="s">
        <v>54</v>
      </c>
      <c r="G197" s="7">
        <v>4</v>
      </c>
      <c r="H197" s="10">
        <v>22000</v>
      </c>
      <c r="I197" s="10">
        <f t="shared" si="3"/>
        <v>88000</v>
      </c>
      <c r="J197" s="21" t="s">
        <v>66</v>
      </c>
    </row>
    <row r="198" spans="1:10" x14ac:dyDescent="0.35">
      <c r="A198" s="20" t="s">
        <v>267</v>
      </c>
      <c r="B198" s="9">
        <v>46142</v>
      </c>
      <c r="C198" s="7" t="s">
        <v>42</v>
      </c>
      <c r="D198" s="7" t="s">
        <v>43</v>
      </c>
      <c r="E198" s="7" t="s">
        <v>53</v>
      </c>
      <c r="F198" s="7" t="s">
        <v>54</v>
      </c>
      <c r="G198" s="7">
        <v>10</v>
      </c>
      <c r="H198" s="10">
        <v>22000</v>
      </c>
      <c r="I198" s="10">
        <f t="shared" si="3"/>
        <v>220000</v>
      </c>
      <c r="J198" s="21" t="s">
        <v>46</v>
      </c>
    </row>
    <row r="199" spans="1:10" x14ac:dyDescent="0.35">
      <c r="A199" s="20" t="s">
        <v>268</v>
      </c>
      <c r="B199" s="9">
        <v>46097</v>
      </c>
      <c r="C199" s="7" t="s">
        <v>72</v>
      </c>
      <c r="D199" s="7" t="s">
        <v>52</v>
      </c>
      <c r="E199" s="7" t="s">
        <v>63</v>
      </c>
      <c r="F199" s="7" t="s">
        <v>54</v>
      </c>
      <c r="G199" s="7">
        <v>5</v>
      </c>
      <c r="H199" s="10">
        <v>18000</v>
      </c>
      <c r="I199" s="10">
        <f t="shared" si="3"/>
        <v>90000</v>
      </c>
      <c r="J199" s="21" t="s">
        <v>46</v>
      </c>
    </row>
    <row r="200" spans="1:10" x14ac:dyDescent="0.35">
      <c r="A200" s="20" t="s">
        <v>269</v>
      </c>
      <c r="B200" s="9">
        <v>46036</v>
      </c>
      <c r="C200" s="7" t="s">
        <v>72</v>
      </c>
      <c r="D200" s="7" t="s">
        <v>49</v>
      </c>
      <c r="E200" s="7" t="s">
        <v>44</v>
      </c>
      <c r="F200" s="7" t="s">
        <v>45</v>
      </c>
      <c r="G200" s="7">
        <v>6</v>
      </c>
      <c r="H200" s="10">
        <v>55000</v>
      </c>
      <c r="I200" s="10">
        <f t="shared" si="3"/>
        <v>330000</v>
      </c>
      <c r="J200" s="21" t="s">
        <v>46</v>
      </c>
    </row>
    <row r="201" spans="1:10" x14ac:dyDescent="0.35">
      <c r="A201" s="20" t="s">
        <v>270</v>
      </c>
      <c r="B201" s="9">
        <v>46188</v>
      </c>
      <c r="C201" s="7" t="s">
        <v>51</v>
      </c>
      <c r="D201" s="7" t="s">
        <v>43</v>
      </c>
      <c r="E201" s="7" t="s">
        <v>73</v>
      </c>
      <c r="F201" s="7" t="s">
        <v>45</v>
      </c>
      <c r="G201" s="7">
        <v>5</v>
      </c>
      <c r="H201" s="10">
        <v>12000</v>
      </c>
      <c r="I201" s="10">
        <f t="shared" si="3"/>
        <v>60000</v>
      </c>
      <c r="J201" s="21" t="s">
        <v>46</v>
      </c>
    </row>
    <row r="202" spans="1:10" x14ac:dyDescent="0.35">
      <c r="A202" s="20" t="s">
        <v>271</v>
      </c>
      <c r="B202" s="9">
        <v>46238</v>
      </c>
      <c r="C202" s="7" t="s">
        <v>51</v>
      </c>
      <c r="D202" s="7" t="s">
        <v>49</v>
      </c>
      <c r="E202" s="7" t="s">
        <v>53</v>
      </c>
      <c r="F202" s="7" t="s">
        <v>54</v>
      </c>
      <c r="G202" s="7">
        <v>8</v>
      </c>
      <c r="H202" s="10">
        <v>22000</v>
      </c>
      <c r="I202" s="10">
        <f t="shared" si="3"/>
        <v>176000</v>
      </c>
      <c r="J202" s="21" t="s">
        <v>55</v>
      </c>
    </row>
    <row r="203" spans="1:10" x14ac:dyDescent="0.35">
      <c r="A203" s="20" t="s">
        <v>272</v>
      </c>
      <c r="B203" s="9">
        <v>46285</v>
      </c>
      <c r="C203" s="7" t="s">
        <v>51</v>
      </c>
      <c r="D203" s="7" t="s">
        <v>62</v>
      </c>
      <c r="E203" s="7" t="s">
        <v>63</v>
      </c>
      <c r="F203" s="7" t="s">
        <v>54</v>
      </c>
      <c r="G203" s="7">
        <v>9</v>
      </c>
      <c r="H203" s="10">
        <v>18000</v>
      </c>
      <c r="I203" s="10">
        <f t="shared" si="3"/>
        <v>162000</v>
      </c>
      <c r="J203" s="21" t="s">
        <v>46</v>
      </c>
    </row>
    <row r="204" spans="1:10" x14ac:dyDescent="0.35">
      <c r="A204" s="20" t="s">
        <v>273</v>
      </c>
      <c r="B204" s="9">
        <v>46045</v>
      </c>
      <c r="C204" s="7" t="s">
        <v>42</v>
      </c>
      <c r="D204" s="7" t="s">
        <v>274</v>
      </c>
      <c r="E204" s="7" t="s">
        <v>73</v>
      </c>
      <c r="F204" s="7" t="s">
        <v>45</v>
      </c>
      <c r="G204" s="7">
        <v>1</v>
      </c>
      <c r="H204" s="10">
        <v>12000</v>
      </c>
      <c r="I204" s="10">
        <f t="shared" si="3"/>
        <v>12000</v>
      </c>
      <c r="J204" s="21" t="s">
        <v>46</v>
      </c>
    </row>
    <row r="205" spans="1:10" x14ac:dyDescent="0.35">
      <c r="A205" s="20" t="s">
        <v>275</v>
      </c>
      <c r="B205" s="9">
        <v>46228</v>
      </c>
      <c r="C205" s="7" t="s">
        <v>48</v>
      </c>
      <c r="D205" s="7" t="s">
        <v>49</v>
      </c>
      <c r="E205" s="7" t="s">
        <v>57</v>
      </c>
      <c r="F205" s="7" t="s">
        <v>58</v>
      </c>
      <c r="G205" s="7">
        <v>8</v>
      </c>
      <c r="H205" s="10">
        <v>2500</v>
      </c>
      <c r="I205" s="10">
        <f t="shared" si="3"/>
        <v>20000</v>
      </c>
      <c r="J205" s="21" t="s">
        <v>55</v>
      </c>
    </row>
    <row r="206" spans="1:10" x14ac:dyDescent="0.35">
      <c r="A206" s="20" t="s">
        <v>276</v>
      </c>
      <c r="B206" s="9">
        <v>46064</v>
      </c>
      <c r="C206" s="7" t="s">
        <v>42</v>
      </c>
      <c r="D206" s="7" t="s">
        <v>52</v>
      </c>
      <c r="E206" s="7" t="s">
        <v>44</v>
      </c>
      <c r="F206" s="7" t="s">
        <v>45</v>
      </c>
      <c r="G206" s="7">
        <v>3</v>
      </c>
      <c r="H206" s="10">
        <v>55000</v>
      </c>
      <c r="I206" s="10">
        <f t="shared" si="3"/>
        <v>165000</v>
      </c>
      <c r="J206" s="21" t="s">
        <v>46</v>
      </c>
    </row>
    <row r="207" spans="1:10" x14ac:dyDescent="0.35">
      <c r="A207" s="20" t="s">
        <v>277</v>
      </c>
      <c r="B207" s="9">
        <v>46163</v>
      </c>
      <c r="C207" s="7" t="s">
        <v>42</v>
      </c>
      <c r="D207" s="7" t="s">
        <v>62</v>
      </c>
      <c r="E207" s="7" t="s">
        <v>53</v>
      </c>
      <c r="F207" s="7" t="s">
        <v>54</v>
      </c>
      <c r="G207" s="7">
        <v>10</v>
      </c>
      <c r="H207" s="10">
        <v>22000</v>
      </c>
      <c r="I207" s="10">
        <f t="shared" si="3"/>
        <v>220000</v>
      </c>
      <c r="J207" s="21" t="s">
        <v>55</v>
      </c>
    </row>
    <row r="208" spans="1:10" x14ac:dyDescent="0.35">
      <c r="A208" s="20" t="s">
        <v>278</v>
      </c>
      <c r="B208" s="9">
        <v>46255</v>
      </c>
      <c r="C208" s="7" t="s">
        <v>48</v>
      </c>
      <c r="D208" s="7" t="s">
        <v>49</v>
      </c>
      <c r="E208" s="7" t="s">
        <v>63</v>
      </c>
      <c r="F208" s="7" t="s">
        <v>54</v>
      </c>
      <c r="G208" s="7">
        <v>2</v>
      </c>
      <c r="H208" s="10">
        <v>18000</v>
      </c>
      <c r="I208" s="10">
        <f t="shared" si="3"/>
        <v>36000</v>
      </c>
      <c r="J208" s="21" t="s">
        <v>55</v>
      </c>
    </row>
    <row r="209" spans="1:10" x14ac:dyDescent="0.35">
      <c r="A209" s="20" t="s">
        <v>279</v>
      </c>
      <c r="B209" s="9">
        <v>46243</v>
      </c>
      <c r="C209" s="7" t="s">
        <v>48</v>
      </c>
      <c r="D209" s="7" t="s">
        <v>43</v>
      </c>
      <c r="E209" s="7" t="s">
        <v>53</v>
      </c>
      <c r="F209" s="7" t="s">
        <v>54</v>
      </c>
      <c r="G209" s="7">
        <v>7</v>
      </c>
      <c r="H209" s="10">
        <v>22000</v>
      </c>
      <c r="I209" s="10">
        <f t="shared" si="3"/>
        <v>154000</v>
      </c>
      <c r="J209" s="21" t="s">
        <v>46</v>
      </c>
    </row>
    <row r="210" spans="1:10" x14ac:dyDescent="0.35">
      <c r="A210" s="20" t="s">
        <v>280</v>
      </c>
      <c r="B210" s="9">
        <v>46227</v>
      </c>
      <c r="C210" s="7" t="s">
        <v>48</v>
      </c>
      <c r="D210" s="7" t="s">
        <v>49</v>
      </c>
      <c r="E210" s="7" t="s">
        <v>57</v>
      </c>
      <c r="F210" s="7" t="s">
        <v>58</v>
      </c>
      <c r="G210" s="7">
        <v>6</v>
      </c>
      <c r="H210" s="10">
        <v>2500</v>
      </c>
      <c r="I210" s="10">
        <f t="shared" si="3"/>
        <v>15000</v>
      </c>
      <c r="J210" s="21" t="s">
        <v>46</v>
      </c>
    </row>
    <row r="211" spans="1:10" x14ac:dyDescent="0.35">
      <c r="A211" s="20" t="s">
        <v>281</v>
      </c>
      <c r="B211" s="9">
        <v>46153</v>
      </c>
      <c r="C211" s="7" t="s">
        <v>42</v>
      </c>
      <c r="D211" s="7" t="s">
        <v>43</v>
      </c>
      <c r="E211" s="7" t="s">
        <v>63</v>
      </c>
      <c r="F211" s="7" t="s">
        <v>54</v>
      </c>
      <c r="G211" s="7">
        <v>8</v>
      </c>
      <c r="H211" s="10">
        <v>18000</v>
      </c>
      <c r="I211" s="10">
        <f t="shared" si="3"/>
        <v>144000</v>
      </c>
      <c r="J211" s="21" t="s">
        <v>46</v>
      </c>
    </row>
    <row r="212" spans="1:10" x14ac:dyDescent="0.35">
      <c r="A212" s="20" t="s">
        <v>282</v>
      </c>
      <c r="B212" s="9">
        <v>46066</v>
      </c>
      <c r="C212" s="7" t="s">
        <v>51</v>
      </c>
      <c r="D212" s="7" t="s">
        <v>62</v>
      </c>
      <c r="E212" s="7" t="s">
        <v>44</v>
      </c>
      <c r="F212" s="7" t="s">
        <v>45</v>
      </c>
      <c r="G212" s="7">
        <v>2</v>
      </c>
      <c r="H212" s="10">
        <v>55000</v>
      </c>
      <c r="I212" s="10">
        <f t="shared" si="3"/>
        <v>110000</v>
      </c>
      <c r="J212" s="21" t="s">
        <v>46</v>
      </c>
    </row>
    <row r="213" spans="1:10" x14ac:dyDescent="0.35">
      <c r="A213" s="20" t="s">
        <v>283</v>
      </c>
      <c r="B213" s="9">
        <v>46053</v>
      </c>
      <c r="C213" s="7" t="s">
        <v>42</v>
      </c>
      <c r="D213" s="7" t="s">
        <v>49</v>
      </c>
      <c r="E213" s="7" t="s">
        <v>53</v>
      </c>
      <c r="F213" s="7" t="s">
        <v>54</v>
      </c>
      <c r="G213" s="7">
        <v>7</v>
      </c>
      <c r="H213" s="10">
        <v>22000</v>
      </c>
      <c r="I213" s="10">
        <f t="shared" si="3"/>
        <v>154000</v>
      </c>
      <c r="J213" s="21" t="s">
        <v>46</v>
      </c>
    </row>
    <row r="214" spans="1:10" x14ac:dyDescent="0.35">
      <c r="A214" s="20" t="s">
        <v>284</v>
      </c>
      <c r="B214" s="9">
        <v>46049</v>
      </c>
      <c r="C214" s="7" t="s">
        <v>83</v>
      </c>
      <c r="D214" s="7" t="s">
        <v>52</v>
      </c>
      <c r="E214" s="7" t="s">
        <v>57</v>
      </c>
      <c r="F214" s="7" t="s">
        <v>58</v>
      </c>
      <c r="G214" s="7">
        <v>5</v>
      </c>
      <c r="H214" s="10">
        <v>2500</v>
      </c>
      <c r="I214" s="10">
        <f t="shared" si="3"/>
        <v>12500</v>
      </c>
      <c r="J214" s="21" t="s">
        <v>46</v>
      </c>
    </row>
    <row r="215" spans="1:10" x14ac:dyDescent="0.35">
      <c r="A215" s="20" t="s">
        <v>285</v>
      </c>
      <c r="B215" s="9">
        <v>46282</v>
      </c>
      <c r="C215" s="7" t="s">
        <v>72</v>
      </c>
      <c r="D215" s="7" t="s">
        <v>43</v>
      </c>
      <c r="E215" s="7" t="s">
        <v>44</v>
      </c>
      <c r="F215" s="7" t="s">
        <v>45</v>
      </c>
      <c r="G215" s="7">
        <v>8</v>
      </c>
      <c r="H215" s="10">
        <v>55000</v>
      </c>
      <c r="I215" s="10">
        <f t="shared" si="3"/>
        <v>440000</v>
      </c>
      <c r="J215" s="21" t="s">
        <v>46</v>
      </c>
    </row>
    <row r="216" spans="1:10" x14ac:dyDescent="0.35">
      <c r="A216" s="20" t="s">
        <v>286</v>
      </c>
      <c r="B216" s="9">
        <v>46202</v>
      </c>
      <c r="C216" s="7" t="s">
        <v>42</v>
      </c>
      <c r="D216" s="7" t="s">
        <v>49</v>
      </c>
      <c r="E216" s="7" t="s">
        <v>44</v>
      </c>
      <c r="F216" s="7" t="s">
        <v>45</v>
      </c>
      <c r="G216" s="7">
        <v>5</v>
      </c>
      <c r="H216" s="10">
        <v>55000</v>
      </c>
      <c r="I216" s="10">
        <f t="shared" si="3"/>
        <v>275000</v>
      </c>
      <c r="J216" s="21" t="s">
        <v>66</v>
      </c>
    </row>
    <row r="217" spans="1:10" x14ac:dyDescent="0.35">
      <c r="A217" s="20" t="s">
        <v>287</v>
      </c>
      <c r="B217" s="9">
        <v>46242</v>
      </c>
      <c r="C217" s="7" t="s">
        <v>51</v>
      </c>
      <c r="D217" s="7" t="s">
        <v>52</v>
      </c>
      <c r="E217" s="7" t="s">
        <v>53</v>
      </c>
      <c r="F217" s="7" t="s">
        <v>54</v>
      </c>
      <c r="G217" s="7">
        <v>5</v>
      </c>
      <c r="H217" s="10">
        <v>22000</v>
      </c>
      <c r="I217" s="10">
        <f t="shared" si="3"/>
        <v>110000</v>
      </c>
      <c r="J217" s="21" t="s">
        <v>46</v>
      </c>
    </row>
    <row r="218" spans="1:10" x14ac:dyDescent="0.35">
      <c r="A218" s="20" t="s">
        <v>288</v>
      </c>
      <c r="B218" s="9">
        <v>46162</v>
      </c>
      <c r="C218" s="7" t="s">
        <v>42</v>
      </c>
      <c r="D218" s="7" t="s">
        <v>60</v>
      </c>
      <c r="E218" s="7" t="s">
        <v>53</v>
      </c>
      <c r="F218" s="7" t="s">
        <v>54</v>
      </c>
      <c r="G218" s="7">
        <v>6</v>
      </c>
      <c r="H218" s="10">
        <v>22000</v>
      </c>
      <c r="I218" s="10">
        <f t="shared" si="3"/>
        <v>132000</v>
      </c>
      <c r="J218" s="21" t="s">
        <v>46</v>
      </c>
    </row>
    <row r="219" spans="1:10" x14ac:dyDescent="0.35">
      <c r="A219" s="20" t="s">
        <v>289</v>
      </c>
      <c r="B219" s="9">
        <v>46096</v>
      </c>
      <c r="C219" s="7" t="s">
        <v>48</v>
      </c>
      <c r="D219" s="7" t="s">
        <v>49</v>
      </c>
      <c r="E219" s="7" t="s">
        <v>53</v>
      </c>
      <c r="F219" s="7" t="s">
        <v>54</v>
      </c>
      <c r="G219" s="7">
        <v>3</v>
      </c>
      <c r="H219" s="10">
        <v>22000</v>
      </c>
      <c r="I219" s="10">
        <f t="shared" si="3"/>
        <v>66000</v>
      </c>
      <c r="J219" s="21" t="s">
        <v>46</v>
      </c>
    </row>
    <row r="220" spans="1:10" x14ac:dyDescent="0.35">
      <c r="A220" s="20" t="s">
        <v>290</v>
      </c>
      <c r="B220" s="9">
        <v>46133</v>
      </c>
      <c r="C220" s="7" t="s">
        <v>223</v>
      </c>
      <c r="D220" s="7" t="s">
        <v>62</v>
      </c>
      <c r="E220" s="7" t="s">
        <v>44</v>
      </c>
      <c r="F220" s="7" t="s">
        <v>45</v>
      </c>
      <c r="G220" s="7">
        <v>8</v>
      </c>
      <c r="H220" s="10">
        <v>55000</v>
      </c>
      <c r="I220" s="10">
        <f t="shared" si="3"/>
        <v>440000</v>
      </c>
      <c r="J220" s="21" t="s">
        <v>46</v>
      </c>
    </row>
    <row r="221" spans="1:10" x14ac:dyDescent="0.35">
      <c r="A221" s="20" t="s">
        <v>291</v>
      </c>
      <c r="B221" s="9">
        <v>46212</v>
      </c>
      <c r="C221" s="7" t="s">
        <v>42</v>
      </c>
      <c r="D221" s="7" t="s">
        <v>60</v>
      </c>
      <c r="E221" s="7" t="s">
        <v>53</v>
      </c>
      <c r="F221" s="7" t="s">
        <v>54</v>
      </c>
      <c r="G221" s="7">
        <v>10</v>
      </c>
      <c r="H221" s="10">
        <v>22000</v>
      </c>
      <c r="I221" s="10">
        <f t="shared" si="3"/>
        <v>220000</v>
      </c>
      <c r="J221" s="21" t="s">
        <v>66</v>
      </c>
    </row>
    <row r="222" spans="1:10" x14ac:dyDescent="0.35">
      <c r="A222" s="20" t="s">
        <v>292</v>
      </c>
      <c r="B222" s="9">
        <v>46049</v>
      </c>
      <c r="C222" s="7" t="s">
        <v>72</v>
      </c>
      <c r="D222" s="7" t="s">
        <v>43</v>
      </c>
      <c r="E222" s="7" t="s">
        <v>44</v>
      </c>
      <c r="F222" s="7" t="s">
        <v>45</v>
      </c>
      <c r="G222" s="7">
        <v>10</v>
      </c>
      <c r="H222" s="10">
        <v>55000</v>
      </c>
      <c r="I222" s="10">
        <f t="shared" si="3"/>
        <v>550000</v>
      </c>
      <c r="J222" s="21" t="s">
        <v>46</v>
      </c>
    </row>
    <row r="223" spans="1:10" x14ac:dyDescent="0.35">
      <c r="A223" s="20" t="s">
        <v>293</v>
      </c>
      <c r="B223" s="9">
        <v>46162</v>
      </c>
      <c r="C223" s="7" t="s">
        <v>223</v>
      </c>
      <c r="D223" s="7" t="s">
        <v>62</v>
      </c>
      <c r="E223" s="7" t="s">
        <v>44</v>
      </c>
      <c r="F223" s="7" t="s">
        <v>45</v>
      </c>
      <c r="G223" s="7">
        <v>8</v>
      </c>
      <c r="H223" s="10">
        <v>55000</v>
      </c>
      <c r="I223" s="10">
        <f t="shared" si="3"/>
        <v>440000</v>
      </c>
      <c r="J223" s="21" t="s">
        <v>66</v>
      </c>
    </row>
    <row r="224" spans="1:10" x14ac:dyDescent="0.35">
      <c r="A224" s="20" t="s">
        <v>294</v>
      </c>
      <c r="B224" s="9">
        <v>46235</v>
      </c>
      <c r="C224" s="7" t="s">
        <v>42</v>
      </c>
      <c r="D224" s="7" t="s">
        <v>43</v>
      </c>
      <c r="E224" s="7" t="s">
        <v>57</v>
      </c>
      <c r="F224" s="7" t="s">
        <v>58</v>
      </c>
      <c r="G224" s="7">
        <v>9</v>
      </c>
      <c r="H224" s="10">
        <v>2500</v>
      </c>
      <c r="I224" s="10">
        <f t="shared" si="3"/>
        <v>22500</v>
      </c>
      <c r="J224" s="21" t="s">
        <v>46</v>
      </c>
    </row>
    <row r="225" spans="1:10" x14ac:dyDescent="0.35">
      <c r="A225" s="20" t="s">
        <v>295</v>
      </c>
      <c r="B225" s="9">
        <v>46243</v>
      </c>
      <c r="C225" s="7" t="s">
        <v>51</v>
      </c>
      <c r="D225" s="7" t="s">
        <v>60</v>
      </c>
      <c r="E225" s="7" t="s">
        <v>63</v>
      </c>
      <c r="F225" s="7" t="s">
        <v>54</v>
      </c>
      <c r="G225" s="7">
        <v>10</v>
      </c>
      <c r="H225" s="10">
        <v>18000</v>
      </c>
      <c r="I225" s="10">
        <f t="shared" si="3"/>
        <v>180000</v>
      </c>
      <c r="J225" s="21" t="s">
        <v>55</v>
      </c>
    </row>
    <row r="226" spans="1:10" x14ac:dyDescent="0.35">
      <c r="A226" s="20" t="s">
        <v>296</v>
      </c>
      <c r="B226" s="9">
        <v>46180</v>
      </c>
      <c r="C226" s="7" t="s">
        <v>51</v>
      </c>
      <c r="D226" s="7" t="s">
        <v>43</v>
      </c>
      <c r="E226" s="7" t="s">
        <v>73</v>
      </c>
      <c r="F226" s="7" t="s">
        <v>45</v>
      </c>
      <c r="G226" s="7">
        <v>7</v>
      </c>
      <c r="H226" s="10">
        <v>12000</v>
      </c>
      <c r="I226" s="10">
        <f t="shared" si="3"/>
        <v>84000</v>
      </c>
      <c r="J226" s="21" t="s">
        <v>66</v>
      </c>
    </row>
    <row r="227" spans="1:10" x14ac:dyDescent="0.35">
      <c r="A227" s="20" t="s">
        <v>297</v>
      </c>
      <c r="B227" s="9">
        <v>46026</v>
      </c>
      <c r="C227" s="7" t="s">
        <v>72</v>
      </c>
      <c r="D227" s="7" t="s">
        <v>60</v>
      </c>
      <c r="E227" s="7" t="s">
        <v>44</v>
      </c>
      <c r="F227" s="7" t="s">
        <v>45</v>
      </c>
      <c r="G227" s="7">
        <v>4</v>
      </c>
      <c r="H227" s="10">
        <v>55000</v>
      </c>
      <c r="I227" s="10">
        <f t="shared" si="3"/>
        <v>220000</v>
      </c>
      <c r="J227" s="21" t="s">
        <v>46</v>
      </c>
    </row>
    <row r="228" spans="1:10" x14ac:dyDescent="0.35">
      <c r="A228" s="20" t="s">
        <v>298</v>
      </c>
      <c r="B228" s="9">
        <v>46171</v>
      </c>
      <c r="C228" s="7" t="s">
        <v>42</v>
      </c>
      <c r="D228" s="7" t="s">
        <v>49</v>
      </c>
      <c r="E228" s="7" t="s">
        <v>63</v>
      </c>
      <c r="F228" s="7" t="s">
        <v>54</v>
      </c>
      <c r="G228" s="7">
        <v>1</v>
      </c>
      <c r="H228" s="10">
        <v>18000</v>
      </c>
      <c r="I228" s="10">
        <f t="shared" si="3"/>
        <v>18000</v>
      </c>
      <c r="J228" s="21" t="s">
        <v>55</v>
      </c>
    </row>
    <row r="229" spans="1:10" x14ac:dyDescent="0.35">
      <c r="A229" s="20" t="s">
        <v>299</v>
      </c>
      <c r="B229" s="9">
        <v>46112</v>
      </c>
      <c r="C229" s="7" t="s">
        <v>72</v>
      </c>
      <c r="D229" s="7" t="s">
        <v>62</v>
      </c>
      <c r="E229" s="7" t="s">
        <v>57</v>
      </c>
      <c r="F229" s="7" t="s">
        <v>58</v>
      </c>
      <c r="G229" s="7">
        <v>9</v>
      </c>
      <c r="H229" s="10">
        <v>2500</v>
      </c>
      <c r="I229" s="10">
        <f t="shared" si="3"/>
        <v>22500</v>
      </c>
      <c r="J229" s="21" t="s">
        <v>46</v>
      </c>
    </row>
    <row r="230" spans="1:10" x14ac:dyDescent="0.35">
      <c r="A230" s="20" t="s">
        <v>300</v>
      </c>
      <c r="B230" s="9">
        <v>46204</v>
      </c>
      <c r="C230" s="7" t="s">
        <v>51</v>
      </c>
      <c r="D230" s="7" t="s">
        <v>62</v>
      </c>
      <c r="E230" s="7" t="s">
        <v>73</v>
      </c>
      <c r="F230" s="7" t="s">
        <v>45</v>
      </c>
      <c r="G230" s="7">
        <v>1</v>
      </c>
      <c r="H230" s="10">
        <v>12000</v>
      </c>
      <c r="I230" s="10">
        <f t="shared" si="3"/>
        <v>12000</v>
      </c>
      <c r="J230" s="21" t="s">
        <v>46</v>
      </c>
    </row>
    <row r="231" spans="1:10" x14ac:dyDescent="0.35">
      <c r="A231" s="20" t="s">
        <v>301</v>
      </c>
      <c r="B231" s="9">
        <v>46258</v>
      </c>
      <c r="C231" s="7" t="s">
        <v>51</v>
      </c>
      <c r="D231" s="7" t="s">
        <v>302</v>
      </c>
      <c r="E231" s="7" t="s">
        <v>44</v>
      </c>
      <c r="F231" s="7" t="s">
        <v>45</v>
      </c>
      <c r="G231" s="7">
        <v>10</v>
      </c>
      <c r="H231" s="10">
        <v>55000</v>
      </c>
      <c r="I231" s="10">
        <f t="shared" si="3"/>
        <v>550000</v>
      </c>
      <c r="J231" s="21" t="s">
        <v>46</v>
      </c>
    </row>
    <row r="232" spans="1:10" x14ac:dyDescent="0.35">
      <c r="A232" s="20" t="s">
        <v>303</v>
      </c>
      <c r="B232" s="9">
        <v>46230</v>
      </c>
      <c r="C232" s="7" t="s">
        <v>48</v>
      </c>
      <c r="D232" s="7" t="s">
        <v>60</v>
      </c>
      <c r="E232" s="7" t="s">
        <v>73</v>
      </c>
      <c r="F232" s="7" t="s">
        <v>45</v>
      </c>
      <c r="G232" s="7">
        <v>2</v>
      </c>
      <c r="H232" s="10">
        <v>12000</v>
      </c>
      <c r="I232" s="10">
        <f t="shared" si="3"/>
        <v>24000</v>
      </c>
      <c r="J232" s="21" t="s">
        <v>46</v>
      </c>
    </row>
    <row r="233" spans="1:10" x14ac:dyDescent="0.35">
      <c r="A233" s="20" t="s">
        <v>304</v>
      </c>
      <c r="B233" s="9">
        <v>46189</v>
      </c>
      <c r="C233" s="7" t="s">
        <v>72</v>
      </c>
      <c r="D233" s="7" t="s">
        <v>52</v>
      </c>
      <c r="E233" s="7" t="s">
        <v>44</v>
      </c>
      <c r="F233" s="7" t="s">
        <v>45</v>
      </c>
      <c r="G233" s="7">
        <v>8</v>
      </c>
      <c r="H233" s="10">
        <v>55000</v>
      </c>
      <c r="I233" s="10">
        <f t="shared" si="3"/>
        <v>440000</v>
      </c>
      <c r="J233" s="21" t="s">
        <v>46</v>
      </c>
    </row>
    <row r="234" spans="1:10" x14ac:dyDescent="0.35">
      <c r="A234" s="20" t="s">
        <v>305</v>
      </c>
      <c r="B234" s="9">
        <v>46246</v>
      </c>
      <c r="C234" s="7" t="s">
        <v>51</v>
      </c>
      <c r="D234" s="7" t="s">
        <v>43</v>
      </c>
      <c r="E234" s="7" t="s">
        <v>44</v>
      </c>
      <c r="F234" s="7" t="s">
        <v>45</v>
      </c>
      <c r="G234" s="7">
        <v>7</v>
      </c>
      <c r="H234" s="10">
        <v>55000</v>
      </c>
      <c r="I234" s="10">
        <f t="shared" si="3"/>
        <v>385000</v>
      </c>
      <c r="J234" s="21" t="s">
        <v>66</v>
      </c>
    </row>
    <row r="235" spans="1:10" x14ac:dyDescent="0.35">
      <c r="A235" s="20" t="s">
        <v>306</v>
      </c>
      <c r="B235" s="9">
        <v>46291</v>
      </c>
      <c r="C235" s="7" t="s">
        <v>51</v>
      </c>
      <c r="D235" s="7" t="s">
        <v>62</v>
      </c>
      <c r="E235" s="7" t="s">
        <v>57</v>
      </c>
      <c r="F235" s="7" t="s">
        <v>58</v>
      </c>
      <c r="G235" s="7">
        <v>5</v>
      </c>
      <c r="H235" s="10">
        <v>2500</v>
      </c>
      <c r="I235" s="10">
        <f t="shared" si="3"/>
        <v>12500</v>
      </c>
      <c r="J235" s="21" t="s">
        <v>46</v>
      </c>
    </row>
    <row r="236" spans="1:10" x14ac:dyDescent="0.35">
      <c r="A236" s="20" t="s">
        <v>307</v>
      </c>
      <c r="B236" s="9">
        <v>46193</v>
      </c>
      <c r="C236" s="7" t="s">
        <v>72</v>
      </c>
      <c r="D236" s="7" t="s">
        <v>49</v>
      </c>
      <c r="E236" s="7" t="s">
        <v>53</v>
      </c>
      <c r="F236" s="7" t="s">
        <v>54</v>
      </c>
      <c r="G236" s="7">
        <v>9</v>
      </c>
      <c r="H236" s="10">
        <v>22000</v>
      </c>
      <c r="I236" s="10">
        <f t="shared" si="3"/>
        <v>198000</v>
      </c>
      <c r="J236" s="21" t="s">
        <v>46</v>
      </c>
    </row>
    <row r="237" spans="1:10" x14ac:dyDescent="0.35">
      <c r="A237" s="20" t="s">
        <v>308</v>
      </c>
      <c r="B237" s="9">
        <v>46284</v>
      </c>
      <c r="C237" s="7" t="s">
        <v>72</v>
      </c>
      <c r="D237" s="7" t="s">
        <v>60</v>
      </c>
      <c r="E237" s="7" t="s">
        <v>73</v>
      </c>
      <c r="F237" s="7" t="s">
        <v>45</v>
      </c>
      <c r="G237" s="7">
        <v>6</v>
      </c>
      <c r="H237" s="10">
        <v>12000</v>
      </c>
      <c r="I237" s="10">
        <f t="shared" si="3"/>
        <v>72000</v>
      </c>
      <c r="J237" s="21" t="s">
        <v>46</v>
      </c>
    </row>
    <row r="238" spans="1:10" x14ac:dyDescent="0.35">
      <c r="A238" s="20" t="s">
        <v>309</v>
      </c>
      <c r="B238" s="9">
        <v>46075</v>
      </c>
      <c r="C238" s="7" t="s">
        <v>72</v>
      </c>
      <c r="D238" s="7" t="s">
        <v>60</v>
      </c>
      <c r="E238" s="7" t="s">
        <v>53</v>
      </c>
      <c r="F238" s="7" t="s">
        <v>54</v>
      </c>
      <c r="G238" s="7">
        <v>4</v>
      </c>
      <c r="H238" s="10">
        <v>22000</v>
      </c>
      <c r="I238" s="10">
        <f t="shared" si="3"/>
        <v>88000</v>
      </c>
      <c r="J238" s="21" t="s">
        <v>46</v>
      </c>
    </row>
    <row r="239" spans="1:10" x14ac:dyDescent="0.35">
      <c r="A239" s="20" t="s">
        <v>310</v>
      </c>
      <c r="B239" s="9">
        <v>46101</v>
      </c>
      <c r="C239" s="7" t="s">
        <v>51</v>
      </c>
      <c r="D239" s="7" t="s">
        <v>43</v>
      </c>
      <c r="E239" s="7" t="s">
        <v>73</v>
      </c>
      <c r="F239" s="7" t="s">
        <v>45</v>
      </c>
      <c r="G239" s="7">
        <v>8</v>
      </c>
      <c r="H239" s="10">
        <v>12000</v>
      </c>
      <c r="I239" s="10">
        <f t="shared" si="3"/>
        <v>96000</v>
      </c>
      <c r="J239" s="21" t="s">
        <v>55</v>
      </c>
    </row>
    <row r="240" spans="1:10" x14ac:dyDescent="0.35">
      <c r="A240" s="20" t="s">
        <v>311</v>
      </c>
      <c r="B240" s="9">
        <v>46252</v>
      </c>
      <c r="C240" s="7" t="s">
        <v>42</v>
      </c>
      <c r="D240" s="7" t="s">
        <v>60</v>
      </c>
      <c r="E240" s="7" t="s">
        <v>73</v>
      </c>
      <c r="F240" s="7" t="s">
        <v>45</v>
      </c>
      <c r="G240" s="7">
        <v>3</v>
      </c>
      <c r="H240" s="10">
        <v>12000</v>
      </c>
      <c r="I240" s="10">
        <f t="shared" si="3"/>
        <v>36000</v>
      </c>
      <c r="J240" s="21" t="s">
        <v>55</v>
      </c>
    </row>
    <row r="241" spans="1:10" x14ac:dyDescent="0.35">
      <c r="A241" s="20" t="s">
        <v>312</v>
      </c>
      <c r="B241" s="9">
        <v>46263</v>
      </c>
      <c r="C241" s="7" t="s">
        <v>48</v>
      </c>
      <c r="D241" s="7" t="s">
        <v>60</v>
      </c>
      <c r="E241" s="7" t="s">
        <v>44</v>
      </c>
      <c r="F241" s="7" t="s">
        <v>45</v>
      </c>
      <c r="G241" s="7">
        <v>5</v>
      </c>
      <c r="H241" s="10">
        <v>55000</v>
      </c>
      <c r="I241" s="10">
        <f t="shared" si="3"/>
        <v>275000</v>
      </c>
      <c r="J241" s="21" t="s">
        <v>66</v>
      </c>
    </row>
    <row r="242" spans="1:10" x14ac:dyDescent="0.35">
      <c r="A242" s="20" t="s">
        <v>70</v>
      </c>
      <c r="B242" s="9">
        <v>46212</v>
      </c>
      <c r="C242" s="7" t="s">
        <v>42</v>
      </c>
      <c r="D242" s="7" t="s">
        <v>43</v>
      </c>
      <c r="E242" s="7" t="s">
        <v>53</v>
      </c>
      <c r="F242" s="7" t="s">
        <v>54</v>
      </c>
      <c r="G242" s="7">
        <v>5</v>
      </c>
      <c r="H242" s="10">
        <v>22000</v>
      </c>
      <c r="I242" s="10">
        <f t="shared" si="3"/>
        <v>110000</v>
      </c>
      <c r="J242" s="21" t="s">
        <v>46</v>
      </c>
    </row>
    <row r="243" spans="1:10" x14ac:dyDescent="0.35">
      <c r="A243" s="20" t="s">
        <v>181</v>
      </c>
      <c r="B243" s="9">
        <v>46231</v>
      </c>
      <c r="C243" s="7" t="s">
        <v>69</v>
      </c>
      <c r="D243" s="7" t="s">
        <v>52</v>
      </c>
      <c r="E243" s="7" t="s">
        <v>53</v>
      </c>
      <c r="F243" s="7" t="s">
        <v>54</v>
      </c>
      <c r="G243" s="7">
        <v>4</v>
      </c>
      <c r="H243" s="10">
        <v>22000</v>
      </c>
      <c r="I243" s="10">
        <f t="shared" si="3"/>
        <v>88000</v>
      </c>
      <c r="J243" s="21" t="s">
        <v>55</v>
      </c>
    </row>
    <row r="244" spans="1:10" x14ac:dyDescent="0.35">
      <c r="A244" s="20" t="s">
        <v>305</v>
      </c>
      <c r="B244" s="9">
        <v>46246</v>
      </c>
      <c r="C244" s="7" t="s">
        <v>51</v>
      </c>
      <c r="D244" s="7" t="s">
        <v>43</v>
      </c>
      <c r="E244" s="7" t="s">
        <v>44</v>
      </c>
      <c r="F244" s="7" t="s">
        <v>45</v>
      </c>
      <c r="G244" s="7">
        <v>7</v>
      </c>
      <c r="H244" s="10">
        <v>55000</v>
      </c>
      <c r="I244" s="10">
        <f t="shared" si="3"/>
        <v>385000</v>
      </c>
      <c r="J244" s="21" t="s">
        <v>66</v>
      </c>
    </row>
    <row r="245" spans="1:10" x14ac:dyDescent="0.35">
      <c r="A245" s="20" t="s">
        <v>279</v>
      </c>
      <c r="B245" s="9">
        <v>46243</v>
      </c>
      <c r="C245" s="7" t="s">
        <v>48</v>
      </c>
      <c r="D245" s="7" t="s">
        <v>43</v>
      </c>
      <c r="E245" s="7" t="s">
        <v>53</v>
      </c>
      <c r="F245" s="7" t="s">
        <v>54</v>
      </c>
      <c r="G245" s="7">
        <v>7</v>
      </c>
      <c r="H245" s="10">
        <v>22000</v>
      </c>
      <c r="I245" s="10">
        <f t="shared" si="3"/>
        <v>154000</v>
      </c>
      <c r="J245" s="21" t="s">
        <v>46</v>
      </c>
    </row>
    <row r="246" spans="1:10" x14ac:dyDescent="0.35">
      <c r="A246" s="20" t="s">
        <v>215</v>
      </c>
      <c r="B246" s="9">
        <v>46082</v>
      </c>
      <c r="C246" s="7" t="s">
        <v>48</v>
      </c>
      <c r="D246" s="7" t="s">
        <v>52</v>
      </c>
      <c r="E246" s="7" t="s">
        <v>63</v>
      </c>
      <c r="F246" s="7" t="s">
        <v>54</v>
      </c>
      <c r="G246" s="7">
        <v>1</v>
      </c>
      <c r="H246" s="10">
        <v>18000</v>
      </c>
      <c r="I246" s="10">
        <f t="shared" si="3"/>
        <v>18000</v>
      </c>
      <c r="J246" s="21" t="s">
        <v>55</v>
      </c>
    </row>
    <row r="247" spans="1:10" x14ac:dyDescent="0.35">
      <c r="A247" s="20" t="s">
        <v>237</v>
      </c>
      <c r="B247" s="9">
        <v>46073</v>
      </c>
      <c r="C247" s="7" t="s">
        <v>51</v>
      </c>
      <c r="D247" s="7" t="s">
        <v>62</v>
      </c>
      <c r="E247" s="7" t="s">
        <v>57</v>
      </c>
      <c r="F247" s="7" t="s">
        <v>58</v>
      </c>
      <c r="G247" s="7">
        <v>3</v>
      </c>
      <c r="H247" s="10">
        <v>2500</v>
      </c>
      <c r="I247" s="10">
        <f t="shared" si="3"/>
        <v>7500</v>
      </c>
      <c r="J247" s="21" t="s">
        <v>46</v>
      </c>
    </row>
    <row r="248" spans="1:10" x14ac:dyDescent="0.35">
      <c r="A248" s="20" t="s">
        <v>113</v>
      </c>
      <c r="B248" s="9">
        <v>46158</v>
      </c>
      <c r="C248" s="7" t="s">
        <v>48</v>
      </c>
      <c r="D248" s="7" t="s">
        <v>43</v>
      </c>
      <c r="E248" s="7" t="s">
        <v>53</v>
      </c>
      <c r="F248" s="7" t="s">
        <v>54</v>
      </c>
      <c r="G248" s="7">
        <v>5</v>
      </c>
      <c r="H248" s="10">
        <v>22000</v>
      </c>
      <c r="I248" s="10">
        <f t="shared" si="3"/>
        <v>110000</v>
      </c>
      <c r="J248" s="21" t="s">
        <v>55</v>
      </c>
    </row>
    <row r="249" spans="1:10" x14ac:dyDescent="0.35">
      <c r="A249" s="25" t="s">
        <v>147</v>
      </c>
      <c r="B249" s="26">
        <v>46240</v>
      </c>
      <c r="C249" s="27" t="s">
        <v>72</v>
      </c>
      <c r="D249" s="27" t="s">
        <v>43</v>
      </c>
      <c r="E249" s="27" t="s">
        <v>44</v>
      </c>
      <c r="F249" s="27" t="s">
        <v>45</v>
      </c>
      <c r="G249" s="27">
        <v>9</v>
      </c>
      <c r="H249" s="28">
        <v>55000</v>
      </c>
      <c r="I249" s="28">
        <f t="shared" si="3"/>
        <v>495000</v>
      </c>
      <c r="J249" s="29" t="s">
        <v>55</v>
      </c>
    </row>
  </sheetData>
  <pageMargins left="0.75" right="0.75" top="1" bottom="1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0"/>
  <sheetViews>
    <sheetView zoomScaleNormal="100" workbookViewId="0"/>
  </sheetViews>
  <sheetFormatPr defaultColWidth="8.6328125" defaultRowHeight="14.5" x14ac:dyDescent="0.35"/>
  <cols>
    <col min="1" max="1" width="16" customWidth="1"/>
    <col min="2" max="2" width="20" customWidth="1"/>
    <col min="3" max="3" width="10" customWidth="1"/>
  </cols>
  <sheetData>
    <row r="1" spans="1:3" ht="18" x14ac:dyDescent="0.4">
      <c r="A1" s="11" t="s">
        <v>313</v>
      </c>
    </row>
    <row r="4" spans="1:3" x14ac:dyDescent="0.35">
      <c r="A4" s="8" t="s">
        <v>33</v>
      </c>
      <c r="B4" s="8" t="s">
        <v>314</v>
      </c>
      <c r="C4" s="8" t="s">
        <v>315</v>
      </c>
    </row>
    <row r="5" spans="1:3" x14ac:dyDescent="0.35">
      <c r="A5" s="7" t="s">
        <v>51</v>
      </c>
      <c r="B5" s="10">
        <f>SUMIFS(Sales_Data!$I$2:$I$2000,Sales_Data!$C$2:$C$2000,$A5)</f>
        <v>7712500</v>
      </c>
      <c r="C5" s="7">
        <f>COUNTIFS(Sales_Data!$C$2:$C$2000,$A5)</f>
        <v>66</v>
      </c>
    </row>
    <row r="6" spans="1:3" x14ac:dyDescent="0.35">
      <c r="A6" s="7" t="s">
        <v>72</v>
      </c>
      <c r="B6" s="10">
        <f>SUMIFS(Sales_Data!$I$2:$I$2000,Sales_Data!$C$2:$C$2000,$A6)</f>
        <v>8361500</v>
      </c>
      <c r="C6" s="7">
        <f>COUNTIFS(Sales_Data!$C$2:$C$2000,$A6)</f>
        <v>57</v>
      </c>
    </row>
    <row r="7" spans="1:3" x14ac:dyDescent="0.35">
      <c r="A7" s="7" t="s">
        <v>42</v>
      </c>
      <c r="B7" s="10">
        <f>SUMIFS(Sales_Data!$I$2:$I$2000,Sales_Data!$C$2:$C$2000,$A7)</f>
        <v>8866000</v>
      </c>
      <c r="C7" s="7">
        <f>COUNTIFS(Sales_Data!$C$2:$C$2000,$A7)</f>
        <v>61</v>
      </c>
    </row>
    <row r="8" spans="1:3" x14ac:dyDescent="0.35">
      <c r="A8" s="7" t="s">
        <v>48</v>
      </c>
      <c r="B8" s="10">
        <f>SUMIFS(Sales_Data!$I$2:$I$2000,Sales_Data!$C$2:$C$2000,$A8)</f>
        <v>6601000</v>
      </c>
      <c r="C8" s="7">
        <f>COUNTIFS(Sales_Data!$C$2:$C$2000,$A8)</f>
        <v>51</v>
      </c>
    </row>
    <row r="9" spans="1:3" x14ac:dyDescent="0.35">
      <c r="A9" s="12" t="s">
        <v>316</v>
      </c>
      <c r="B9" s="13">
        <f>SUM(B5:B8)</f>
        <v>31541000</v>
      </c>
      <c r="C9" s="12">
        <f>SUM(C5:C8)</f>
        <v>235</v>
      </c>
    </row>
    <row r="12" spans="1:3" x14ac:dyDescent="0.35">
      <c r="A12" s="8" t="s">
        <v>35</v>
      </c>
      <c r="B12" s="8" t="s">
        <v>314</v>
      </c>
      <c r="C12" s="8" t="s">
        <v>315</v>
      </c>
    </row>
    <row r="13" spans="1:3" x14ac:dyDescent="0.35">
      <c r="A13" s="7" t="s">
        <v>44</v>
      </c>
      <c r="B13" s="10">
        <f>SUMIFS(Sales_Data!$I$2:$I$2000,Sales_Data!$E$2:$E$2000,$A13)</f>
        <v>17160000</v>
      </c>
      <c r="C13" s="7">
        <f>COUNTIFS(Sales_Data!$E$2:$E$2000,$A13)</f>
        <v>53</v>
      </c>
    </row>
    <row r="14" spans="1:3" x14ac:dyDescent="0.35">
      <c r="A14" s="7" t="s">
        <v>53</v>
      </c>
      <c r="B14" s="10">
        <f>SUMIFS(Sales_Data!$I$2:$I$2000,Sales_Data!$E$2:$E$2000,$A14)</f>
        <v>7436000</v>
      </c>
      <c r="C14" s="7">
        <f>COUNTIFS(Sales_Data!$E$2:$E$2000,$A14)</f>
        <v>59</v>
      </c>
    </row>
    <row r="15" spans="1:3" x14ac:dyDescent="0.35">
      <c r="A15" s="7" t="s">
        <v>63</v>
      </c>
      <c r="B15" s="10">
        <f>SUMIFS(Sales_Data!$I$2:$I$2000,Sales_Data!$E$2:$E$2000,$A15)</f>
        <v>4590000</v>
      </c>
      <c r="C15" s="7">
        <f>COUNTIFS(Sales_Data!$E$2:$E$2000,$A15)</f>
        <v>43</v>
      </c>
    </row>
    <row r="16" spans="1:3" x14ac:dyDescent="0.35">
      <c r="A16" s="7" t="s">
        <v>57</v>
      </c>
      <c r="B16" s="10">
        <f>SUMIFS(Sales_Data!$I$2:$I$2000,Sales_Data!$E$2:$E$2000,$A16)</f>
        <v>635000</v>
      </c>
      <c r="C16" s="7">
        <f>COUNTIFS(Sales_Data!$E$2:$E$2000,$A16)</f>
        <v>47</v>
      </c>
    </row>
    <row r="17" spans="1:3" x14ac:dyDescent="0.35">
      <c r="A17" s="7" t="s">
        <v>73</v>
      </c>
      <c r="B17" s="10">
        <f>SUMIFS(Sales_Data!$I$2:$I$2000,Sales_Data!$E$2:$E$2000,$A17)</f>
        <v>2832000</v>
      </c>
      <c r="C17" s="7">
        <f>COUNTIFS(Sales_Data!$E$2:$E$2000,$A17)</f>
        <v>46</v>
      </c>
    </row>
    <row r="18" spans="1:3" x14ac:dyDescent="0.35">
      <c r="A18" s="12" t="s">
        <v>316</v>
      </c>
      <c r="B18" s="13">
        <f>SUM(B13:B17)</f>
        <v>32653000</v>
      </c>
      <c r="C18" s="12">
        <f>SUM(C13:C17)</f>
        <v>248</v>
      </c>
    </row>
    <row r="20" spans="1:3" x14ac:dyDescent="0.35">
      <c r="A20" s="14" t="s">
        <v>317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6F121-E82D-49D5-B0BB-45004E42A9FD}">
  <sheetPr>
    <tabColor rgb="FFA5A5A5"/>
  </sheetPr>
  <dimension ref="A1:Z21"/>
  <sheetViews>
    <sheetView workbookViewId="0"/>
  </sheetViews>
  <sheetFormatPr defaultRowHeight="14" x14ac:dyDescent="0.3"/>
  <cols>
    <col min="1" max="1" width="7.36328125" style="15" bestFit="1" customWidth="1"/>
    <col min="2" max="2" width="11.08984375" style="15" bestFit="1" customWidth="1"/>
    <col min="3" max="3" width="8.7265625" style="15"/>
    <col min="4" max="4" width="11.6328125" style="15" bestFit="1" customWidth="1"/>
    <col min="5" max="5" width="11.08984375" style="15" bestFit="1" customWidth="1"/>
    <col min="6" max="6" width="8.7265625" style="15"/>
    <col min="7" max="7" width="9.08984375" style="15" bestFit="1" customWidth="1"/>
    <col min="8" max="8" width="7.1796875" style="15" bestFit="1" customWidth="1"/>
    <col min="9" max="9" width="8.7265625" style="15"/>
    <col min="10" max="10" width="12.36328125" style="15" bestFit="1" customWidth="1"/>
    <col min="11" max="11" width="11.08984375" style="15" bestFit="1" customWidth="1"/>
    <col min="12" max="12" width="8.7265625" style="15"/>
    <col min="13" max="13" width="6.54296875" style="15" bestFit="1" customWidth="1"/>
    <col min="14" max="14" width="11.08984375" style="15" bestFit="1" customWidth="1"/>
    <col min="15" max="15" width="12.453125" style="15" bestFit="1" customWidth="1"/>
    <col min="16" max="16" width="8.7265625" style="15"/>
    <col min="17" max="17" width="7.36328125" style="15" bestFit="1" customWidth="1"/>
    <col min="18" max="20" width="9.54296875" style="15" bestFit="1" customWidth="1"/>
    <col min="21" max="21" width="12.54296875" style="15" bestFit="1" customWidth="1"/>
    <col min="22" max="22" width="7.90625" style="15" bestFit="1" customWidth="1"/>
    <col min="23" max="23" width="8.7265625" style="15"/>
    <col min="24" max="24" width="24.1796875" style="15" bestFit="1" customWidth="1"/>
    <col min="25" max="25" width="11.08984375" style="15" bestFit="1" customWidth="1"/>
    <col min="26" max="26" width="7.36328125" style="15" bestFit="1" customWidth="1"/>
    <col min="27" max="16384" width="8.7265625" style="15"/>
  </cols>
  <sheetData>
    <row r="1" spans="1:26" x14ac:dyDescent="0.3">
      <c r="A1" s="17" t="s">
        <v>33</v>
      </c>
      <c r="B1" s="17" t="s">
        <v>39</v>
      </c>
      <c r="C1" s="17"/>
      <c r="D1" s="17" t="s">
        <v>36</v>
      </c>
      <c r="E1" s="17" t="s">
        <v>39</v>
      </c>
      <c r="F1" s="17"/>
      <c r="G1" s="17" t="s">
        <v>40</v>
      </c>
      <c r="H1" s="17" t="s">
        <v>315</v>
      </c>
      <c r="I1" s="17"/>
      <c r="J1" s="17" t="s">
        <v>34</v>
      </c>
      <c r="K1" s="17" t="s">
        <v>39</v>
      </c>
      <c r="L1" s="17"/>
      <c r="M1" s="17" t="s">
        <v>318</v>
      </c>
      <c r="N1" s="17" t="s">
        <v>39</v>
      </c>
      <c r="O1" s="17" t="s">
        <v>319</v>
      </c>
      <c r="P1" s="17"/>
      <c r="Q1" s="17" t="s">
        <v>33</v>
      </c>
      <c r="R1" s="17" t="s">
        <v>44</v>
      </c>
      <c r="S1" s="17" t="s">
        <v>53</v>
      </c>
      <c r="T1" s="17" t="s">
        <v>63</v>
      </c>
      <c r="U1" s="17" t="s">
        <v>57</v>
      </c>
      <c r="V1" s="17" t="s">
        <v>73</v>
      </c>
      <c r="W1" s="17"/>
      <c r="X1" s="17" t="s">
        <v>320</v>
      </c>
      <c r="Y1" s="17" t="s">
        <v>39</v>
      </c>
      <c r="Z1" s="17" t="s">
        <v>33</v>
      </c>
    </row>
    <row r="2" spans="1:26" x14ac:dyDescent="0.3">
      <c r="A2" s="15" t="s">
        <v>51</v>
      </c>
      <c r="B2" s="18">
        <f>SUMIFS(Sales_Data!$I$2:$I$2000,Sales_Data!$C$2:$C$2000,A2)</f>
        <v>7712500</v>
      </c>
      <c r="D2" s="15" t="s">
        <v>45</v>
      </c>
      <c r="E2" s="18">
        <f>SUMIFS(Sales_Data!$I$2:$I$2000,Sales_Data!$F$2:$F$2000,D2)</f>
        <v>19992000</v>
      </c>
      <c r="G2" s="15" t="s">
        <v>46</v>
      </c>
      <c r="H2" s="15">
        <f>COUNTIFS(Sales_Data!$J$2:$J$2000,G2)</f>
        <v>169</v>
      </c>
      <c r="J2" s="15" t="s">
        <v>49</v>
      </c>
      <c r="K2" s="18">
        <f>SUMIFS(Sales_Data!$I$2:$I$2000,Sales_Data!$D$2:$D$2000,J2)</f>
        <v>4072000</v>
      </c>
      <c r="M2" s="15" t="str">
        <f t="shared" ref="M2:M13" si="0">TEXT(O2,"mmm")</f>
        <v>Jan</v>
      </c>
      <c r="N2" s="18">
        <f>SUMIFS(Sales_Data!$I$2:$I$2000,Sales_Data!$B$2:$B$2000,"&gt;="&amp;O2,Sales_Data!$B$2:$B$2000,"&lt;"&amp;EDATE(O2,1))</f>
        <v>3981500</v>
      </c>
      <c r="O2" s="16">
        <f>DATE(YEAR(MAX(Sales_Data!$B$2:$B$2000)),1,1)</f>
        <v>46023</v>
      </c>
      <c r="Q2" s="15" t="s">
        <v>51</v>
      </c>
      <c r="R2" s="18">
        <f>SUMIFS(Sales_Data!$I$2:$I$2000,Sales_Data!$C$2:$C$2000,$Q2,Sales_Data!$E$2:$E$2000,R$1)</f>
        <v>3080000</v>
      </c>
      <c r="S2" s="18">
        <f>SUMIFS(Sales_Data!$I$2:$I$2000,Sales_Data!$C$2:$C$2000,$Q2,Sales_Data!$E$2:$E$2000,S$1)</f>
        <v>2002000</v>
      </c>
      <c r="T2" s="18">
        <f>SUMIFS(Sales_Data!$I$2:$I$2000,Sales_Data!$C$2:$C$2000,$Q2,Sales_Data!$E$2:$E$2000,T$1)</f>
        <v>1728000</v>
      </c>
      <c r="U2" s="18">
        <f>SUMIFS(Sales_Data!$I$2:$I$2000,Sales_Data!$C$2:$C$2000,$Q2,Sales_Data!$E$2:$E$2000,U$1)</f>
        <v>182500</v>
      </c>
      <c r="V2" s="18">
        <f>SUMIFS(Sales_Data!$I$2:$I$2000,Sales_Data!$C$2:$C$2000,$Q2,Sales_Data!$E$2:$E$2000,V$1)</f>
        <v>720000</v>
      </c>
      <c r="X2" s="15" t="s">
        <v>321</v>
      </c>
      <c r="Y2" s="18">
        <f t="shared" ref="Y2:Y21" si="1">INDEX($B$2:$B$5,MATCH(Z2,$A$2:$A$5,0))</f>
        <v>7712500</v>
      </c>
      <c r="Z2" s="15" t="s">
        <v>51</v>
      </c>
    </row>
    <row r="3" spans="1:26" x14ac:dyDescent="0.3">
      <c r="A3" s="15" t="s">
        <v>72</v>
      </c>
      <c r="B3" s="18">
        <f>SUMIFS(Sales_Data!$I$2:$I$2000,Sales_Data!$C$2:$C$2000,A3)</f>
        <v>8361500</v>
      </c>
      <c r="D3" s="15" t="s">
        <v>54</v>
      </c>
      <c r="E3" s="18">
        <f>SUMIFS(Sales_Data!$I$2:$I$2000,Sales_Data!$F$2:$F$2000,D3)</f>
        <v>12026000</v>
      </c>
      <c r="G3" s="15" t="s">
        <v>55</v>
      </c>
      <c r="H3" s="15">
        <f>COUNTIFS(Sales_Data!$J$2:$J$2000,G3)</f>
        <v>48</v>
      </c>
      <c r="J3" s="15" t="s">
        <v>43</v>
      </c>
      <c r="K3" s="18">
        <f>SUMIFS(Sales_Data!$I$2:$I$2000,Sales_Data!$D$2:$D$2000,J3)</f>
        <v>7610500</v>
      </c>
      <c r="M3" s="15" t="str">
        <f t="shared" si="0"/>
        <v>Feb</v>
      </c>
      <c r="N3" s="18">
        <f>SUMIFS(Sales_Data!$I$2:$I$2000,Sales_Data!$B$2:$B$2000,"&gt;="&amp;O3,Sales_Data!$B$2:$B$2000,"&lt;"&amp;EDATE(O3,1))</f>
        <v>2505000</v>
      </c>
      <c r="O3" s="16">
        <f t="shared" ref="O3:O13" si="2">EDATE(O2,1)</f>
        <v>46054</v>
      </c>
      <c r="Q3" s="15" t="s">
        <v>72</v>
      </c>
      <c r="R3" s="18">
        <f>SUMIFS(Sales_Data!$I$2:$I$2000,Sales_Data!$C$2:$C$2000,$Q3,Sales_Data!$E$2:$E$2000,R$1)</f>
        <v>5115000</v>
      </c>
      <c r="S3" s="18">
        <f>SUMIFS(Sales_Data!$I$2:$I$2000,Sales_Data!$C$2:$C$2000,$Q3,Sales_Data!$E$2:$E$2000,S$1)</f>
        <v>1342000</v>
      </c>
      <c r="T3" s="18">
        <f>SUMIFS(Sales_Data!$I$2:$I$2000,Sales_Data!$C$2:$C$2000,$Q3,Sales_Data!$E$2:$E$2000,T$1)</f>
        <v>1062000</v>
      </c>
      <c r="U3" s="18">
        <f>SUMIFS(Sales_Data!$I$2:$I$2000,Sales_Data!$C$2:$C$2000,$Q3,Sales_Data!$E$2:$E$2000,U$1)</f>
        <v>122500</v>
      </c>
      <c r="V3" s="18">
        <f>SUMIFS(Sales_Data!$I$2:$I$2000,Sales_Data!$C$2:$C$2000,$Q3,Sales_Data!$E$2:$E$2000,V$1)</f>
        <v>720000</v>
      </c>
      <c r="X3" s="15" t="s">
        <v>322</v>
      </c>
      <c r="Y3" s="18">
        <f t="shared" si="1"/>
        <v>7712500</v>
      </c>
      <c r="Z3" s="15" t="s">
        <v>51</v>
      </c>
    </row>
    <row r="4" spans="1:26" x14ac:dyDescent="0.3">
      <c r="A4" s="15" t="s">
        <v>42</v>
      </c>
      <c r="B4" s="18">
        <f>SUMIFS(Sales_Data!$I$2:$I$2000,Sales_Data!$C$2:$C$2000,A4)</f>
        <v>8866000</v>
      </c>
      <c r="D4" s="15" t="s">
        <v>58</v>
      </c>
      <c r="E4" s="18">
        <f>SUMIFS(Sales_Data!$I$2:$I$2000,Sales_Data!$F$2:$F$2000,D4)</f>
        <v>635000</v>
      </c>
      <c r="G4" s="15" t="s">
        <v>66</v>
      </c>
      <c r="H4" s="15">
        <f>COUNTIFS(Sales_Data!$J$2:$J$2000,G4)</f>
        <v>31</v>
      </c>
      <c r="J4" s="15" t="s">
        <v>60</v>
      </c>
      <c r="K4" s="18">
        <f>SUMIFS(Sales_Data!$I$2:$I$2000,Sales_Data!$D$2:$D$2000,J4)</f>
        <v>8561000</v>
      </c>
      <c r="M4" s="15" t="str">
        <f t="shared" si="0"/>
        <v>Mar</v>
      </c>
      <c r="N4" s="18">
        <f>SUMIFS(Sales_Data!$I$2:$I$2000,Sales_Data!$B$2:$B$2000,"&gt;="&amp;O4,Sales_Data!$B$2:$B$2000,"&lt;"&amp;EDATE(O4,1))</f>
        <v>2824000</v>
      </c>
      <c r="O4" s="16">
        <f t="shared" si="2"/>
        <v>46082</v>
      </c>
      <c r="Q4" s="15" t="s">
        <v>42</v>
      </c>
      <c r="R4" s="18">
        <f>SUMIFS(Sales_Data!$I$2:$I$2000,Sales_Data!$C$2:$C$2000,$Q4,Sales_Data!$E$2:$E$2000,R$1)</f>
        <v>4840000</v>
      </c>
      <c r="S4" s="18">
        <f>SUMIFS(Sales_Data!$I$2:$I$2000,Sales_Data!$C$2:$C$2000,$Q4,Sales_Data!$E$2:$E$2000,S$1)</f>
        <v>2134000</v>
      </c>
      <c r="T4" s="18">
        <f>SUMIFS(Sales_Data!$I$2:$I$2000,Sales_Data!$C$2:$C$2000,$Q4,Sales_Data!$E$2:$E$2000,T$1)</f>
        <v>1152000</v>
      </c>
      <c r="U4" s="18">
        <f>SUMIFS(Sales_Data!$I$2:$I$2000,Sales_Data!$C$2:$C$2000,$Q4,Sales_Data!$E$2:$E$2000,U$1)</f>
        <v>140000</v>
      </c>
      <c r="V4" s="18">
        <f>SUMIFS(Sales_Data!$I$2:$I$2000,Sales_Data!$C$2:$C$2000,$Q4,Sales_Data!$E$2:$E$2000,V$1)</f>
        <v>600000</v>
      </c>
      <c r="X4" s="15" t="s">
        <v>323</v>
      </c>
      <c r="Y4" s="18">
        <f t="shared" si="1"/>
        <v>7712500</v>
      </c>
      <c r="Z4" s="15" t="s">
        <v>51</v>
      </c>
    </row>
    <row r="5" spans="1:26" x14ac:dyDescent="0.3">
      <c r="A5" s="15" t="s">
        <v>48</v>
      </c>
      <c r="B5" s="18">
        <f>SUMIFS(Sales_Data!$I$2:$I$2000,Sales_Data!$C$2:$C$2000,A5)</f>
        <v>6601000</v>
      </c>
      <c r="J5" s="15" t="s">
        <v>62</v>
      </c>
      <c r="K5" s="18">
        <f>SUMIFS(Sales_Data!$I$2:$I$2000,Sales_Data!$D$2:$D$2000,J5)</f>
        <v>6356500</v>
      </c>
      <c r="M5" s="15" t="str">
        <f t="shared" si="0"/>
        <v>Apr</v>
      </c>
      <c r="N5" s="18">
        <f>SUMIFS(Sales_Data!$I$2:$I$2000,Sales_Data!$B$2:$B$2000,"&gt;="&amp;O5,Sales_Data!$B$2:$B$2000,"&lt;"&amp;EDATE(O5,1))</f>
        <v>2511500</v>
      </c>
      <c r="O5" s="16">
        <f t="shared" si="2"/>
        <v>46113</v>
      </c>
      <c r="Q5" s="15" t="s">
        <v>48</v>
      </c>
      <c r="R5" s="18">
        <f>SUMIFS(Sales_Data!$I$2:$I$2000,Sales_Data!$C$2:$C$2000,$Q5,Sales_Data!$E$2:$E$2000,R$1)</f>
        <v>3960000</v>
      </c>
      <c r="S5" s="18">
        <f>SUMIFS(Sales_Data!$I$2:$I$2000,Sales_Data!$C$2:$C$2000,$Q5,Sales_Data!$E$2:$E$2000,S$1)</f>
        <v>1364000</v>
      </c>
      <c r="T5" s="18">
        <f>SUMIFS(Sales_Data!$I$2:$I$2000,Sales_Data!$C$2:$C$2000,$Q5,Sales_Data!$E$2:$E$2000,T$1)</f>
        <v>450000</v>
      </c>
      <c r="U5" s="18">
        <f>SUMIFS(Sales_Data!$I$2:$I$2000,Sales_Data!$C$2:$C$2000,$Q5,Sales_Data!$E$2:$E$2000,U$1)</f>
        <v>155000</v>
      </c>
      <c r="V5" s="18">
        <f>SUMIFS(Sales_Data!$I$2:$I$2000,Sales_Data!$C$2:$C$2000,$Q5,Sales_Data!$E$2:$E$2000,V$1)</f>
        <v>672000</v>
      </c>
      <c r="X5" s="15" t="s">
        <v>324</v>
      </c>
      <c r="Y5" s="18">
        <f t="shared" si="1"/>
        <v>7712500</v>
      </c>
      <c r="Z5" s="15" t="s">
        <v>51</v>
      </c>
    </row>
    <row r="6" spans="1:26" x14ac:dyDescent="0.3">
      <c r="J6" s="15" t="s">
        <v>52</v>
      </c>
      <c r="K6" s="18">
        <f>SUMIFS(Sales_Data!$I$2:$I$2000,Sales_Data!$D$2:$D$2000,J6)</f>
        <v>6053000</v>
      </c>
      <c r="M6" s="15" t="str">
        <f t="shared" si="0"/>
        <v>May</v>
      </c>
      <c r="N6" s="18">
        <f>SUMIFS(Sales_Data!$I$2:$I$2000,Sales_Data!$B$2:$B$2000,"&gt;="&amp;O6,Sales_Data!$B$2:$B$2000,"&lt;"&amp;EDATE(O6,1))</f>
        <v>5728500</v>
      </c>
      <c r="O6" s="16">
        <f t="shared" si="2"/>
        <v>46143</v>
      </c>
      <c r="X6" s="15" t="s">
        <v>325</v>
      </c>
      <c r="Y6" s="18">
        <f t="shared" si="1"/>
        <v>7712500</v>
      </c>
      <c r="Z6" s="15" t="s">
        <v>51</v>
      </c>
    </row>
    <row r="7" spans="1:26" x14ac:dyDescent="0.3">
      <c r="M7" s="15" t="str">
        <f t="shared" si="0"/>
        <v>Jun</v>
      </c>
      <c r="N7" s="18">
        <f>SUMIFS(Sales_Data!$I$2:$I$2000,Sales_Data!$B$2:$B$2000,"&gt;="&amp;O7,Sales_Data!$B$2:$B$2000,"&lt;"&amp;EDATE(O7,1))</f>
        <v>2546500</v>
      </c>
      <c r="O7" s="16">
        <f t="shared" si="2"/>
        <v>46174</v>
      </c>
      <c r="X7" s="15" t="s">
        <v>326</v>
      </c>
      <c r="Y7" s="18">
        <f t="shared" si="1"/>
        <v>7712500</v>
      </c>
      <c r="Z7" s="15" t="s">
        <v>51</v>
      </c>
    </row>
    <row r="8" spans="1:26" x14ac:dyDescent="0.3">
      <c r="M8" s="15" t="str">
        <f t="shared" si="0"/>
        <v>Jul</v>
      </c>
      <c r="N8" s="18">
        <f>SUMIFS(Sales_Data!$I$2:$I$2000,Sales_Data!$B$2:$B$2000,"&gt;="&amp;O8,Sales_Data!$B$2:$B$2000,"&lt;"&amp;EDATE(O8,1))</f>
        <v>3132000</v>
      </c>
      <c r="O8" s="16">
        <f t="shared" si="2"/>
        <v>46204</v>
      </c>
      <c r="X8" s="15" t="s">
        <v>327</v>
      </c>
      <c r="Y8" s="18">
        <f t="shared" si="1"/>
        <v>8361500</v>
      </c>
      <c r="Z8" s="15" t="s">
        <v>72</v>
      </c>
    </row>
    <row r="9" spans="1:26" x14ac:dyDescent="0.3">
      <c r="M9" s="15" t="str">
        <f t="shared" si="0"/>
        <v>Aug</v>
      </c>
      <c r="N9" s="18">
        <f>SUMIFS(Sales_Data!$I$2:$I$2000,Sales_Data!$B$2:$B$2000,"&gt;="&amp;O9,Sales_Data!$B$2:$B$2000,"&lt;"&amp;EDATE(O9,1))</f>
        <v>6790000</v>
      </c>
      <c r="O9" s="16">
        <f t="shared" si="2"/>
        <v>46235</v>
      </c>
      <c r="X9" s="15" t="s">
        <v>328</v>
      </c>
      <c r="Y9" s="18">
        <f t="shared" si="1"/>
        <v>8361500</v>
      </c>
      <c r="Z9" s="15" t="s">
        <v>72</v>
      </c>
    </row>
    <row r="10" spans="1:26" x14ac:dyDescent="0.3">
      <c r="M10" s="15" t="str">
        <f t="shared" si="0"/>
        <v>Sep</v>
      </c>
      <c r="N10" s="18">
        <f>SUMIFS(Sales_Data!$I$2:$I$2000,Sales_Data!$B$2:$B$2000,"&gt;="&amp;O10,Sales_Data!$B$2:$B$2000,"&lt;"&amp;EDATE(O10,1))</f>
        <v>2634000</v>
      </c>
      <c r="O10" s="16">
        <f t="shared" si="2"/>
        <v>46266</v>
      </c>
      <c r="X10" s="15" t="s">
        <v>329</v>
      </c>
      <c r="Y10" s="18">
        <f t="shared" si="1"/>
        <v>8361500</v>
      </c>
      <c r="Z10" s="15" t="s">
        <v>72</v>
      </c>
    </row>
    <row r="11" spans="1:26" x14ac:dyDescent="0.3">
      <c r="M11" s="15" t="str">
        <f t="shared" si="0"/>
        <v>Oct</v>
      </c>
      <c r="N11" s="18">
        <f>SUMIFS(Sales_Data!$I$2:$I$2000,Sales_Data!$B$2:$B$2000,"&gt;="&amp;O11,Sales_Data!$B$2:$B$2000,"&lt;"&amp;EDATE(O11,1))</f>
        <v>0</v>
      </c>
      <c r="O11" s="16">
        <f t="shared" si="2"/>
        <v>46296</v>
      </c>
      <c r="X11" s="15" t="s">
        <v>330</v>
      </c>
      <c r="Y11" s="18">
        <f t="shared" si="1"/>
        <v>8361500</v>
      </c>
      <c r="Z11" s="15" t="s">
        <v>72</v>
      </c>
    </row>
    <row r="12" spans="1:26" x14ac:dyDescent="0.3">
      <c r="M12" s="15" t="str">
        <f t="shared" si="0"/>
        <v>Nov</v>
      </c>
      <c r="N12" s="18">
        <f>SUMIFS(Sales_Data!$I$2:$I$2000,Sales_Data!$B$2:$B$2000,"&gt;="&amp;O12,Sales_Data!$B$2:$B$2000,"&lt;"&amp;EDATE(O12,1))</f>
        <v>0</v>
      </c>
      <c r="O12" s="16">
        <f t="shared" si="2"/>
        <v>46327</v>
      </c>
      <c r="X12" s="15" t="s">
        <v>331</v>
      </c>
      <c r="Y12" s="18">
        <f t="shared" si="1"/>
        <v>8361500</v>
      </c>
      <c r="Z12" s="15" t="s">
        <v>72</v>
      </c>
    </row>
    <row r="13" spans="1:26" x14ac:dyDescent="0.3">
      <c r="M13" s="15" t="str">
        <f t="shared" si="0"/>
        <v>Dec</v>
      </c>
      <c r="N13" s="18">
        <f>SUMIFS(Sales_Data!$I$2:$I$2000,Sales_Data!$B$2:$B$2000,"&gt;="&amp;O13,Sales_Data!$B$2:$B$2000,"&lt;"&amp;EDATE(O13,1))</f>
        <v>0</v>
      </c>
      <c r="O13" s="16">
        <f t="shared" si="2"/>
        <v>46357</v>
      </c>
      <c r="X13" s="15" t="s">
        <v>332</v>
      </c>
      <c r="Y13" s="18">
        <f t="shared" si="1"/>
        <v>8866000</v>
      </c>
      <c r="Z13" s="15" t="s">
        <v>42</v>
      </c>
    </row>
    <row r="14" spans="1:26" x14ac:dyDescent="0.3">
      <c r="X14" s="15" t="s">
        <v>333</v>
      </c>
      <c r="Y14" s="18">
        <f t="shared" si="1"/>
        <v>8866000</v>
      </c>
      <c r="Z14" s="15" t="s">
        <v>42</v>
      </c>
    </row>
    <row r="15" spans="1:26" x14ac:dyDescent="0.3">
      <c r="X15" s="15" t="s">
        <v>334</v>
      </c>
      <c r="Y15" s="18">
        <f t="shared" si="1"/>
        <v>8866000</v>
      </c>
      <c r="Z15" s="15" t="s">
        <v>42</v>
      </c>
    </row>
    <row r="16" spans="1:26" x14ac:dyDescent="0.3">
      <c r="X16" s="15" t="s">
        <v>335</v>
      </c>
      <c r="Y16" s="18">
        <f t="shared" si="1"/>
        <v>8866000</v>
      </c>
      <c r="Z16" s="15" t="s">
        <v>42</v>
      </c>
    </row>
    <row r="17" spans="24:26" x14ac:dyDescent="0.3">
      <c r="X17" s="15" t="s">
        <v>336</v>
      </c>
      <c r="Y17" s="18">
        <f t="shared" si="1"/>
        <v>8866000</v>
      </c>
      <c r="Z17" s="15" t="s">
        <v>42</v>
      </c>
    </row>
    <row r="18" spans="24:26" x14ac:dyDescent="0.3">
      <c r="X18" s="15" t="s">
        <v>337</v>
      </c>
      <c r="Y18" s="18">
        <f t="shared" si="1"/>
        <v>6601000</v>
      </c>
      <c r="Z18" s="15" t="s">
        <v>48</v>
      </c>
    </row>
    <row r="19" spans="24:26" x14ac:dyDescent="0.3">
      <c r="X19" s="15" t="s">
        <v>338</v>
      </c>
      <c r="Y19" s="18">
        <f t="shared" si="1"/>
        <v>6601000</v>
      </c>
      <c r="Z19" s="15" t="s">
        <v>48</v>
      </c>
    </row>
    <row r="20" spans="24:26" x14ac:dyDescent="0.3">
      <c r="X20" s="15" t="s">
        <v>339</v>
      </c>
      <c r="Y20" s="18">
        <f t="shared" si="1"/>
        <v>6601000</v>
      </c>
      <c r="Z20" s="15" t="s">
        <v>48</v>
      </c>
    </row>
    <row r="21" spans="24:26" x14ac:dyDescent="0.3">
      <c r="X21" s="15" t="s">
        <v>340</v>
      </c>
      <c r="Y21" s="18">
        <f t="shared" si="1"/>
        <v>6601000</v>
      </c>
      <c r="Z21" s="15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Control_Panel</vt:lpstr>
      <vt:lpstr>Sales_Data</vt:lpstr>
      <vt:lpstr>Summary</vt:lpstr>
      <vt:lpstr>Dash_Data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Faizan Banday</cp:lastModifiedBy>
  <cp:revision>0</cp:revision>
  <dcterms:created xsi:type="dcterms:W3CDTF">2026-09-29T14:51:43Z</dcterms:created>
  <dcterms:modified xsi:type="dcterms:W3CDTF">2026-10-03T07:48:54Z</dcterms:modified>
  <dc:language>en-US</dc:language>
</cp:coreProperties>
</file>