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771c0a28ee1053e/Documents/"/>
    </mc:Choice>
  </mc:AlternateContent>
  <xr:revisionPtr revIDLastSave="0" documentId="8_{13BDD254-980D-4081-9E20-0DE205CFB825}" xr6:coauthVersionLast="41" xr6:coauthVersionMax="41" xr10:uidLastSave="{00000000-0000-0000-0000-000000000000}"/>
  <bookViews>
    <workbookView xWindow="-110" yWindow="-110" windowWidth="19420" windowHeight="10420" tabRatio="500" activeTab="1" xr2:uid="{00000000-000D-0000-FFFF-FFFF00000000}"/>
  </bookViews>
  <sheets>
    <sheet name="Dashboard" sheetId="7" r:id="rId1"/>
    <sheet name="Data" sheetId="1" r:id="rId2"/>
    <sheet name="ChartData" sheetId="6" state="hidden" r:id="rId3"/>
  </sheet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4" i="7" l="1"/>
  <c r="I4" i="7"/>
  <c r="E4" i="7"/>
  <c r="A4" i="7"/>
  <c r="H13" i="6"/>
  <c r="H12" i="6"/>
  <c r="H11" i="6"/>
  <c r="H10" i="6"/>
  <c r="H9" i="6"/>
  <c r="H8" i="6"/>
  <c r="H7" i="6"/>
  <c r="H6" i="6"/>
  <c r="H5" i="6"/>
  <c r="H4" i="6"/>
  <c r="H3" i="6"/>
  <c r="H2" i="6"/>
  <c r="E6" i="6"/>
  <c r="E5" i="6"/>
  <c r="E4" i="6"/>
  <c r="E3" i="6"/>
  <c r="E2" i="6"/>
  <c r="B5" i="6"/>
  <c r="B4" i="6"/>
  <c r="B3" i="6"/>
  <c r="B2" i="6"/>
  <c r="I51" i="1"/>
  <c r="K51" i="1" s="1"/>
  <c r="I50" i="1"/>
  <c r="K50" i="1" s="1"/>
  <c r="K49" i="1"/>
  <c r="I49" i="1"/>
  <c r="I48" i="1"/>
  <c r="K48" i="1" s="1"/>
  <c r="K47" i="1"/>
  <c r="I47" i="1"/>
  <c r="K46" i="1"/>
  <c r="I46" i="1"/>
  <c r="K45" i="1"/>
  <c r="I45" i="1"/>
  <c r="K44" i="1"/>
  <c r="I44" i="1"/>
  <c r="K43" i="1"/>
  <c r="I43" i="1"/>
  <c r="K42" i="1"/>
  <c r="I42" i="1"/>
  <c r="K41" i="1"/>
  <c r="I41" i="1"/>
  <c r="K40" i="1"/>
  <c r="I40" i="1"/>
  <c r="K39" i="1"/>
  <c r="I39" i="1"/>
  <c r="K38" i="1"/>
  <c r="I38" i="1"/>
  <c r="K37" i="1"/>
  <c r="I37" i="1"/>
  <c r="K36" i="1"/>
  <c r="I36" i="1"/>
  <c r="K35" i="1"/>
  <c r="I35" i="1"/>
  <c r="K34" i="1"/>
  <c r="I34" i="1"/>
  <c r="K33" i="1"/>
  <c r="I33" i="1"/>
  <c r="K32" i="1"/>
  <c r="I32" i="1"/>
  <c r="K31" i="1"/>
  <c r="I31" i="1"/>
  <c r="K30" i="1"/>
  <c r="I30" i="1"/>
  <c r="K29" i="1"/>
  <c r="I29" i="1"/>
  <c r="K28" i="1"/>
  <c r="I28" i="1"/>
  <c r="K27" i="1"/>
  <c r="I27" i="1"/>
  <c r="K26" i="1"/>
  <c r="I26" i="1"/>
  <c r="K25" i="1"/>
  <c r="I25" i="1"/>
  <c r="K24" i="1"/>
  <c r="I24" i="1"/>
  <c r="K23" i="1"/>
  <c r="I23" i="1"/>
  <c r="K22" i="1"/>
  <c r="I22" i="1"/>
  <c r="K21" i="1"/>
  <c r="I21" i="1"/>
  <c r="K20" i="1"/>
  <c r="I20" i="1"/>
  <c r="K19" i="1"/>
  <c r="I19" i="1"/>
  <c r="K18" i="1"/>
  <c r="I18" i="1"/>
  <c r="K17" i="1"/>
  <c r="I17" i="1"/>
  <c r="K16" i="1"/>
  <c r="I16" i="1"/>
  <c r="K15" i="1"/>
  <c r="I15" i="1"/>
  <c r="K14" i="1"/>
  <c r="I14" i="1"/>
  <c r="K13" i="1"/>
  <c r="I13" i="1"/>
  <c r="K12" i="1"/>
  <c r="I12" i="1"/>
  <c r="K11" i="1"/>
  <c r="I11" i="1"/>
  <c r="K10" i="1"/>
  <c r="I10" i="1"/>
  <c r="K9" i="1"/>
  <c r="I9" i="1"/>
  <c r="K8" i="1"/>
  <c r="I8" i="1"/>
  <c r="K7" i="1"/>
  <c r="I7" i="1"/>
  <c r="K6" i="1"/>
  <c r="I6" i="1"/>
  <c r="K5" i="1"/>
  <c r="I5" i="1"/>
  <c r="K4" i="1"/>
  <c r="I4" i="1"/>
  <c r="K3" i="1"/>
  <c r="I3" i="1"/>
  <c r="K2" i="1"/>
  <c r="I2" i="1"/>
</calcChain>
</file>

<file path=xl/sharedStrings.xml><?xml version="1.0" encoding="utf-8"?>
<sst xmlns="http://schemas.openxmlformats.org/spreadsheetml/2006/main" count="303" uniqueCount="114">
  <si>
    <t>OrderID</t>
  </si>
  <si>
    <t>OrderDate</t>
  </si>
  <si>
    <t>Region</t>
  </si>
  <si>
    <t>Salesperson</t>
  </si>
  <si>
    <t>Category</t>
  </si>
  <si>
    <t>Product</t>
  </si>
  <si>
    <t>Units</t>
  </si>
  <si>
    <t>UnitPrice</t>
  </si>
  <si>
    <t>Sales</t>
  </si>
  <si>
    <t>ProfitMargin</t>
  </si>
  <si>
    <t>Profit</t>
  </si>
  <si>
    <t>ORD-1001</t>
  </si>
  <si>
    <t>North</t>
  </si>
  <si>
    <t>Sana Malik</t>
  </si>
  <si>
    <t>Furniture</t>
  </si>
  <si>
    <t>Study Desk</t>
  </si>
  <si>
    <t>ORD-1002</t>
  </si>
  <si>
    <t>West</t>
  </si>
  <si>
    <t>Ayesha Khan</t>
  </si>
  <si>
    <t>Electronics</t>
  </si>
  <si>
    <t>Wireless Mouse</t>
  </si>
  <si>
    <t>ORD-1003</t>
  </si>
  <si>
    <t>Vikram Rao</t>
  </si>
  <si>
    <t>Groceries</t>
  </si>
  <si>
    <t>Green Tea Pack</t>
  </si>
  <si>
    <t>ORD-1004</t>
  </si>
  <si>
    <t>Arjun Mehta</t>
  </si>
  <si>
    <t>Clothing</t>
  </si>
  <si>
    <t>Denim Jacket</t>
  </si>
  <si>
    <t>ORD-1005</t>
  </si>
  <si>
    <t>Rohit Sharma</t>
  </si>
  <si>
    <t>Running Shoes</t>
  </si>
  <si>
    <t>ORD-1006</t>
  </si>
  <si>
    <t>Zara Iqbal</t>
  </si>
  <si>
    <t>USB-C Cable</t>
  </si>
  <si>
    <t>ORD-1007</t>
  </si>
  <si>
    <t>South</t>
  </si>
  <si>
    <t>Bluetooth Speaker</t>
  </si>
  <si>
    <t>ORD-1008</t>
  </si>
  <si>
    <t>Wool Sweater</t>
  </si>
  <si>
    <t>ORD-1009</t>
  </si>
  <si>
    <t>ORD-1010</t>
  </si>
  <si>
    <t>East</t>
  </si>
  <si>
    <t>Cotton T-Shirt</t>
  </si>
  <si>
    <t>ORD-1011</t>
  </si>
  <si>
    <t>Bookshelf</t>
  </si>
  <si>
    <t>ORD-1012</t>
  </si>
  <si>
    <t>ORD-1013</t>
  </si>
  <si>
    <t>ORD-1014</t>
  </si>
  <si>
    <t>Fatima Noor</t>
  </si>
  <si>
    <t>Basmati Rice 5kg</t>
  </si>
  <si>
    <t>ORD-1015</t>
  </si>
  <si>
    <t>Stationery</t>
  </si>
  <si>
    <t>Sticky Notes</t>
  </si>
  <si>
    <t>ORD-1016</t>
  </si>
  <si>
    <t>Karan Singh</t>
  </si>
  <si>
    <t>ORD-1017</t>
  </si>
  <si>
    <t>ORD-1018</t>
  </si>
  <si>
    <t>ORD-1019</t>
  </si>
  <si>
    <t>Office Chair</t>
  </si>
  <si>
    <t>ORD-1020</t>
  </si>
  <si>
    <t>Gel Pens (10)</t>
  </si>
  <si>
    <t>ORD-1021</t>
  </si>
  <si>
    <t>ORD-1022</t>
  </si>
  <si>
    <t>ORD-1023</t>
  </si>
  <si>
    <t>ORD-1024</t>
  </si>
  <si>
    <t>ORD-1025</t>
  </si>
  <si>
    <t>Olive Oil 1L</t>
  </si>
  <si>
    <t>ORD-1026</t>
  </si>
  <si>
    <t>ORD-1027</t>
  </si>
  <si>
    <t>Filing Cabinet</t>
  </si>
  <si>
    <t>ORD-1028</t>
  </si>
  <si>
    <t>Notebook Pack</t>
  </si>
  <si>
    <t>ORD-1029</t>
  </si>
  <si>
    <t>ORD-1030</t>
  </si>
  <si>
    <t>Laptop Stand</t>
  </si>
  <si>
    <t>ORD-1031</t>
  </si>
  <si>
    <t>ORD-1032</t>
  </si>
  <si>
    <t>ORD-1033</t>
  </si>
  <si>
    <t>ORD-1034</t>
  </si>
  <si>
    <t>ORD-1035</t>
  </si>
  <si>
    <t>ORD-1036</t>
  </si>
  <si>
    <t>ORD-1037</t>
  </si>
  <si>
    <t>ORD-1038</t>
  </si>
  <si>
    <t>ORD-1039</t>
  </si>
  <si>
    <t>ORD-1040</t>
  </si>
  <si>
    <t>ORD-1041</t>
  </si>
  <si>
    <t>ORD-1042</t>
  </si>
  <si>
    <t>ORD-1043</t>
  </si>
  <si>
    <t>ORD-1044</t>
  </si>
  <si>
    <t>ORD-1045</t>
  </si>
  <si>
    <t>ORD-1046</t>
  </si>
  <si>
    <t>ORD-1047</t>
  </si>
  <si>
    <t>ORD-1048</t>
  </si>
  <si>
    <t>ORD-1049</t>
  </si>
  <si>
    <t>ORD-1050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</si>
  <si>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</si>
  <si>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</si>
  <si>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</si>
  <si>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</si>
  <si>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</si>
  <si>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</si>
  <si>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</si>
  <si>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</si>
  <si>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</si>
  <si>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</si>
  <si>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</si>
  <si>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</si>
  <si>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</si>
  <si>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SALES PERFORMANCE DASHBOARD</t>
  </si>
  <si>
    <t>TOTAL SALES</t>
  </si>
  <si>
    <t>TOTAL PROFIT</t>
  </si>
  <si>
    <t>TOTAL UNITS</t>
  </si>
  <si>
    <t>AVG ORDER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</si>
</sst>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\$#,##0.00"/>
    <numFmt numFmtId="166" formatCode="&quot;₹&quot;#,##0"/>
    <numFmt numFmtId="167" formatCode="&quot;₹&quot;#,##0.00"/>
  </numFmts>
  <fonts count="6" x14ac:knownFonts="1">
    <font>
      <sz val="11"/>
      <color theme="1"/>
      <name val="Calibri"/>
      <family val="2"/>
      <charset val="1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20"/>
      <color rgb="FFFFFFFF"/>
      <name val="Arial"/>
      <family val="2"/>
    </font>
    <font>
      <b/>
      <sz val="10"/>
      <color rgb="FFFFFFFF"/>
      <name val="Arial"/>
      <family val="2"/>
    </font>
    <font>
      <b/>
      <sz val="18"/>
      <color rgb="FFFFFF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1F4E78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388E3C"/>
        <bgColor indexed="64"/>
      </patternFill>
    </fill>
    <fill>
      <patternFill patternType="solid">
        <fgColor rgb="FFBF9000"/>
        <bgColor indexed="64"/>
      </patternFill>
    </fill>
    <fill>
      <patternFill patternType="solid">
        <fgColor rgb="FF8E44AD"/>
        <bgColor indexed="64"/>
      </patternFill>
    </fill>
  </fills>
  <borders count="1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165" fontId="2" fillId="0" borderId="1" xfId="0" applyNumberFormat="1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166" fontId="5" fillId="4" borderId="0" xfId="0" applyNumberFormat="1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166" fontId="5" fillId="5" borderId="0" xfId="0" applyNumberFormat="1" applyFont="1" applyFill="1" applyAlignment="1">
      <alignment horizontal="center" vertical="center"/>
    </xf>
    <xf numFmtId="0" fontId="4" fillId="6" borderId="0" xfId="0" applyFont="1" applyFill="1" applyAlignment="1">
      <alignment horizontal="center"/>
    </xf>
    <xf numFmtId="3" fontId="5" fillId="6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/>
    </xf>
    <xf numFmtId="167" fontId="5" fillId="7" borderId="0" xfId="0" applyNumberFormat="1" applyFont="1" applyFill="1" applyAlignment="1">
      <alignment horizontal="center" vertical="center"/>
    </xf>
    <xf numFmtId="0" fontId="2" fillId="0" borderId="2" xfId="0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0" fontId="2" fillId="0" borderId="8" xfId="0" applyFont="1" applyBorder="1" applyAlignment="1">
      <alignment horizontal="left"/>
    </xf>
    <xf numFmtId="0" fontId="2" fillId="0" borderId="8" xfId="0" applyFont="1" applyBorder="1" applyAlignment="1">
      <alignment horizontal="center"/>
    </xf>
    <xf numFmtId="165" fontId="2" fillId="0" borderId="8" xfId="0" applyNumberFormat="1" applyFont="1" applyBorder="1" applyAlignment="1">
      <alignment horizontal="center"/>
    </xf>
    <xf numFmtId="9" fontId="2" fillId="0" borderId="8" xfId="0" applyNumberFormat="1" applyFont="1" applyBorder="1" applyAlignment="1">
      <alignment horizontal="center"/>
    </xf>
    <xf numFmtId="165" fontId="2" fillId="0" borderId="9" xfId="0" applyNumberFormat="1" applyFont="1" applyBorder="1" applyAlignment="1">
      <alignment horizontal="center"/>
    </xf>
  </cellXfs>
  <cellStyles count="1"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rgb="FF003366"/>
          <bgColor rgb="FF1F4E7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\$#,##0.00"/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\$#,##0.00"/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\$#,##0.00"/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yyyy\-mm\-dd"/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border outline="0">
        <top style="thin">
          <color rgb="FFD9D9D9"/>
        </top>
      </border>
    </dxf>
    <dxf>
      <border outline="0">
        <bottom style="thin">
          <color rgb="FFD9D9D9"/>
        </bottom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Sales by Region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Sales</c:v>
          </c:tx>
          <c:spPr>
            <a:solidFill>
              <a:srgbClr val="1F4E78"/>
            </a:solidFill>
          </c:spPr>
          <c:invertIfNegative val="0"/>
          <c:cat>
            <c:strRef>
              <c:f>ChartData!$A$2:$A$5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ChartData!$B$2:$B$5</c:f>
              <c:numCache>
                <c:formatCode>General</c:formatCode>
                <c:ptCount val="4"/>
                <c:pt idx="0">
                  <c:v>17262.7</c:v>
                </c:pt>
                <c:pt idx="1">
                  <c:v>27122.269999999997</c:v>
                </c:pt>
                <c:pt idx="2">
                  <c:v>22857.649999999994</c:v>
                </c:pt>
                <c:pt idx="3">
                  <c:v>15170.91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4-4FA9-A42A-D54FD61AF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6205392"/>
        <c:axId val="546209656"/>
      </c:barChart>
      <c:catAx>
        <c:axId val="54620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6209656"/>
        <c:crosses val="autoZero"/>
        <c:auto val="1"/>
        <c:lblAlgn val="ctr"/>
        <c:lblOffset val="100"/>
        <c:noMultiLvlLbl val="0"/>
      </c:catAx>
      <c:valAx>
        <c:axId val="546209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620539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Sales by Category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Sales</c:v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ChartData!$D$2:$D$6</c:f>
              <c:strCache>
                <c:ptCount val="5"/>
                <c:pt idx="0">
                  <c:v>Electronics</c:v>
                </c:pt>
                <c:pt idx="1">
                  <c:v>Furniture</c:v>
                </c:pt>
                <c:pt idx="2">
                  <c:v>Clothing</c:v>
                </c:pt>
                <c:pt idx="3">
                  <c:v>Groceries</c:v>
                </c:pt>
                <c:pt idx="4">
                  <c:v>Stationery</c:v>
                </c:pt>
              </c:strCache>
            </c:strRef>
          </c:cat>
          <c:val>
            <c:numRef>
              <c:f>ChartData!$E$2:$E$6</c:f>
              <c:numCache>
                <c:formatCode>General</c:formatCode>
                <c:ptCount val="5"/>
                <c:pt idx="0">
                  <c:v>7756.56</c:v>
                </c:pt>
                <c:pt idx="1">
                  <c:v>60267.319999999992</c:v>
                </c:pt>
                <c:pt idx="2">
                  <c:v>13210.119999999999</c:v>
                </c:pt>
                <c:pt idx="3">
                  <c:v>819.7600000000001</c:v>
                </c:pt>
                <c:pt idx="4">
                  <c:v>359.77000000000004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FF-42AC-A290-2CB31711B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Monthly Sales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Sales</c:v>
          </c:tx>
          <c:spPr>
            <a:ln w="31750">
              <a:solidFill>
                <a:srgbClr val="388E3C"/>
              </a:solidFill>
            </a:ln>
          </c:spPr>
          <c:marker>
            <c:spPr>
              <a:ln w="31750">
                <a:solidFill>
                  <a:srgbClr val="388E3C"/>
                </a:solidFill>
              </a:ln>
            </c:spPr>
          </c:marker>
          <c:cat>
            <c:strRef>
              <c:f>ChartData!$G$2:$G$13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ChartData!$H$2:$H$13</c:f>
              <c:numCache>
                <c:formatCode>General</c:formatCode>
                <c:ptCount val="12"/>
                <c:pt idx="0">
                  <c:v>19675.66</c:v>
                </c:pt>
                <c:pt idx="1">
                  <c:v>6752.34</c:v>
                </c:pt>
                <c:pt idx="2">
                  <c:v>5128.2699999999995</c:v>
                </c:pt>
                <c:pt idx="3">
                  <c:v>1127.8899999999999</c:v>
                </c:pt>
                <c:pt idx="4">
                  <c:v>17663.679999999997</c:v>
                </c:pt>
                <c:pt idx="5">
                  <c:v>3823.43</c:v>
                </c:pt>
                <c:pt idx="6">
                  <c:v>4257.54</c:v>
                </c:pt>
                <c:pt idx="7">
                  <c:v>23916.5</c:v>
                </c:pt>
                <c:pt idx="8">
                  <c:v>68.22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F-4A4F-88BD-A8975C918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17856"/>
        <c:axId val="546221136"/>
      </c:lineChart>
      <c:catAx>
        <c:axId val="54621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6221136"/>
        <c:crosses val="autoZero"/>
        <c:auto val="1"/>
        <c:lblAlgn val="ctr"/>
        <c:lblOffset val="100"/>
        <c:noMultiLvlLbl val="0"/>
      </c:catAx>
      <c:valAx>
        <c:axId val="54622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62178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Top Salespersons by Sales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Sales</c:v>
          </c:tx>
          <c:spPr>
            <a:solidFill>
              <a:srgbClr val="BF9000"/>
            </a:solidFill>
          </c:spPr>
          <c:invertIfNegative val="0"/>
          <c:cat>
            <c:strRef>
              <c:f>ChartData!$J$2:$J$9</c:f>
              <c:strCache>
                <c:ptCount val="8"/>
                <c:pt idx="0">
                  <c:v>Vikram Rao</c:v>
                </c:pt>
                <c:pt idx="1">
                  <c:v>Ayesha Khan</c:v>
                </c:pt>
                <c:pt idx="2">
                  <c:v>Karan Singh</c:v>
                </c:pt>
                <c:pt idx="3">
                  <c:v>Sana Malik</c:v>
                </c:pt>
                <c:pt idx="4">
                  <c:v>Rohit Sharma</c:v>
                </c:pt>
                <c:pt idx="5">
                  <c:v>Arjun Mehta</c:v>
                </c:pt>
                <c:pt idx="6">
                  <c:v>Zara Iqbal</c:v>
                </c:pt>
                <c:pt idx="7">
                  <c:v>Fatima Noor</c:v>
                </c:pt>
              </c:strCache>
            </c:strRef>
          </c:cat>
          <c:val>
            <c:numRef>
              <c:f>ChartData!$K$2:$K$9</c:f>
              <c:numCache>
                <c:formatCode>General</c:formatCode>
                <c:ptCount val="8"/>
                <c:pt idx="0">
                  <c:v>22810.71</c:v>
                </c:pt>
                <c:pt idx="1">
                  <c:v>12629.46</c:v>
                </c:pt>
                <c:pt idx="2">
                  <c:v>11683.749999999998</c:v>
                </c:pt>
                <c:pt idx="3">
                  <c:v>11372.030000000002</c:v>
                </c:pt>
                <c:pt idx="4">
                  <c:v>10991.34</c:v>
                </c:pt>
                <c:pt idx="5">
                  <c:v>5564.2199999999993</c:v>
                </c:pt>
                <c:pt idx="6">
                  <c:v>4600.33</c:v>
                </c:pt>
                <c:pt idx="7">
                  <c:v>2761.69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18-41D7-98B7-DA25E722E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6216544"/>
        <c:axId val="546219824"/>
      </c:barChart>
      <c:catAx>
        <c:axId val="546216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46219824"/>
        <c:crosses val="autoZero"/>
        <c:auto val="1"/>
        <c:lblAlgn val="ctr"/>
        <c:lblOffset val="100"/>
        <c:noMultiLvlLbl val="0"/>
      </c:catAx>
      <c:valAx>
        <c:axId val="54621982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462165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139700</xdr:rowOff>
    </xdr:from>
    <xdr:to>
      <xdr:col>7</xdr:col>
      <xdr:colOff>177800</xdr:colOff>
      <xdr:row>22</xdr:row>
      <xdr:rowOff>114300</xdr:rowOff>
    </xdr:to>
    <xdr:graphicFrame macro="">
      <xdr:nvGraphicFramePr>
        <xdr:cNvPr id="2" name="chtRegion">
          <a:extLst>
            <a:ext uri="{FF2B5EF4-FFF2-40B4-BE49-F238E27FC236}">
              <a16:creationId xmlns:a16="http://schemas.microsoft.com/office/drawing/2014/main" id="{CCDC3790-9107-410B-95F3-87E761E3E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431800</xdr:colOff>
      <xdr:row>6</xdr:row>
      <xdr:rowOff>139700</xdr:rowOff>
    </xdr:from>
    <xdr:to>
      <xdr:col>14</xdr:col>
      <xdr:colOff>355600</xdr:colOff>
      <xdr:row>22</xdr:row>
      <xdr:rowOff>114300</xdr:rowOff>
    </xdr:to>
    <xdr:graphicFrame macro="">
      <xdr:nvGraphicFramePr>
        <xdr:cNvPr id="3" name="chtCategory">
          <a:extLst>
            <a:ext uri="{FF2B5EF4-FFF2-40B4-BE49-F238E27FC236}">
              <a16:creationId xmlns:a16="http://schemas.microsoft.com/office/drawing/2014/main" id="{4B156060-A829-4C33-87B3-BAE9A8C38B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24</xdr:row>
      <xdr:rowOff>0</xdr:rowOff>
    </xdr:from>
    <xdr:to>
      <xdr:col>14</xdr:col>
      <xdr:colOff>355600</xdr:colOff>
      <xdr:row>39</xdr:row>
      <xdr:rowOff>158750</xdr:rowOff>
    </xdr:to>
    <xdr:graphicFrame macro="">
      <xdr:nvGraphicFramePr>
        <xdr:cNvPr id="4" name="chtMonthly">
          <a:extLst>
            <a:ext uri="{FF2B5EF4-FFF2-40B4-BE49-F238E27FC236}">
              <a16:creationId xmlns:a16="http://schemas.microsoft.com/office/drawing/2014/main" id="{B2A1C5CA-9980-48B3-9539-8411979F71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41</xdr:row>
      <xdr:rowOff>44450</xdr:rowOff>
    </xdr:from>
    <xdr:to>
      <xdr:col>14</xdr:col>
      <xdr:colOff>355600</xdr:colOff>
      <xdr:row>59</xdr:row>
      <xdr:rowOff>31750</xdr:rowOff>
    </xdr:to>
    <xdr:graphicFrame macro="">
      <xdr:nvGraphicFramePr>
        <xdr:cNvPr id="5" name="chtSalesperson">
          <a:extLst>
            <a:ext uri="{FF2B5EF4-FFF2-40B4-BE49-F238E27FC236}">
              <a16:creationId xmlns:a16="http://schemas.microsoft.com/office/drawing/2014/main" id="{D7FBA5BC-ED57-4DE0-B878-B061A86E3D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425450</xdr:colOff>
      <xdr:row>4</xdr:row>
      <xdr:rowOff>114300</xdr:rowOff>
    </xdr:from>
    <xdr:to>
      <xdr:col>13</xdr:col>
      <xdr:colOff>342900</xdr:colOff>
      <xdr:row>6</xdr:row>
      <xdr:rowOff>57150</xdr:rowOff>
    </xdr:to>
    <xdr:sp macro="[0]!Module1.BuildDashboard" textlink="">
      <xdr:nvSpPr>
        <xdr:cNvPr id="2" name="TextBox 1">
          <a:extLst>
            <a:ext uri="{FF2B5EF4-FFF2-40B4-BE49-F238E27FC236}">
              <a16:creationId xmlns:a16="http://schemas.microsoft.com/office/drawing/2014/main" id="{FE959446-FE86-44B1-A0BC-0BAB0227675F}"/>
            </a:ext>
          </a:extLst>
        </xdr:cNvPr>
        <xdr:cNvSpPr txBox="1"/>
      </xdr:nvSpPr>
      <xdr:spPr>
        <a:xfrm>
          <a:off x="9855200" y="850900"/>
          <a:ext cx="1123950" cy="311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100" b="1">
              <a:solidFill>
                <a:schemeClr val="tx1"/>
              </a:solidFill>
            </a:rPr>
            <a:t>Automation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4D8ACA-A426-430F-98E0-1D63825ADC97}" name="Table1" displayName="Table1" ref="A1:K51" totalsRowShown="0" headerRowDxfId="0" dataDxfId="1" headerRowBorderDxfId="14" tableBorderDxfId="15" totalsRowBorderDxfId="13">
  <autoFilter ref="A1:K51" xr:uid="{5D4B84E9-327E-49F7-A7A1-61816CECC5CC}"/>
  <tableColumns count="11">
    <tableColumn id="1" xr3:uid="{5333BF10-0A37-4838-9EC9-FBE79C9E916B}" name="OrderID" dataDxfId="12"/>
    <tableColumn id="2" xr3:uid="{9049648D-34A0-49A3-AF16-980BE266E6EE}" name="OrderDate" dataDxfId="11"/>
    <tableColumn id="3" xr3:uid="{866D3E6E-1FC2-4AB2-8EB4-60DEAD7F8AEC}" name="Region" dataDxfId="10"/>
    <tableColumn id="4" xr3:uid="{385DF5DC-C19F-47D9-991A-786F95795F6B}" name="Salesperson" dataDxfId="9"/>
    <tableColumn id="5" xr3:uid="{8DFD5B9D-AEE2-446D-A504-A754528C468D}" name="Category" dataDxfId="8"/>
    <tableColumn id="6" xr3:uid="{E39E7F5B-CCC6-480F-9A1C-A1011F3CAD19}" name="Product" dataDxfId="7"/>
    <tableColumn id="7" xr3:uid="{944B757C-82DC-4304-9E52-62DE7C77D57E}" name="Units" dataDxfId="6"/>
    <tableColumn id="8" xr3:uid="{50856ABC-3B2E-4AFA-9CDA-CFB05862C07F}" name="UnitPrice" dataDxfId="5"/>
    <tableColumn id="9" xr3:uid="{24B14799-7F60-4EFC-9B34-77C9EDDDF875}" name="Sales" dataDxfId="4">
      <calculatedColumnFormula>G2*H2</calculatedColumnFormula>
    </tableColumn>
    <tableColumn id="10" xr3:uid="{5F744CF6-E52D-41FD-B80D-D07FFF278D2E}" name="ProfitMargin" dataDxfId="3"/>
    <tableColumn id="11" xr3:uid="{A5E74B0D-BD90-4E48-84E6-2C74096C8ACA}" name="Profit" dataDxfId="2">
      <calculatedColumnFormula>I2*J2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3C2C-96CD-4505-8BE7-51E06823B06D}">
  <sheetPr codeName="Sheet4"/>
  <dimension ref="A1:P5"/>
  <sheetViews>
    <sheetView showGridLines="0" workbookViewId="0">
      <selection activeCell="E4" sqref="E4:H5"/>
    </sheetView>
  </sheetViews>
  <sheetFormatPr defaultRowHeight="14.5" x14ac:dyDescent="0.35"/>
  <sheetData>
    <row r="1" spans="1:16" ht="40" customHeight="1" x14ac:dyDescent="0.35">
      <c r="A1" s="6" t="s">
        <v>109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3" spans="1:16" ht="20" customHeight="1" x14ac:dyDescent="0.35">
      <c r="A3" s="7" t="s">
        <v>110</v>
      </c>
      <c r="B3" s="7"/>
      <c r="C3" s="7"/>
      <c r="D3" s="7"/>
      <c r="E3" s="9" t="s">
        <v>111</v>
      </c>
      <c r="F3" s="9"/>
      <c r="G3" s="9"/>
      <c r="H3" s="9"/>
      <c r="I3" s="11" t="s">
        <v>112</v>
      </c>
      <c r="J3" s="11"/>
      <c r="K3" s="11"/>
      <c r="L3" s="11"/>
      <c r="M3" s="13" t="s">
        <v>113</v>
      </c>
      <c r="N3" s="13"/>
      <c r="O3" s="13"/>
      <c r="P3" s="13"/>
    </row>
    <row r="4" spans="1:16" ht="20" customHeight="1" x14ac:dyDescent="0.35">
      <c r="A4" s="8">
        <f>SUM(Data!$I$2:$I$51)</f>
        <v>82413.53</v>
      </c>
      <c r="B4" s="8"/>
      <c r="C4" s="8"/>
      <c r="D4" s="8"/>
      <c r="E4" s="10">
        <f>SUM(Data!$K$2:$K$51)</f>
        <v>18668.898699999998</v>
      </c>
      <c r="F4" s="10"/>
      <c r="G4" s="10"/>
      <c r="H4" s="10"/>
      <c r="I4" s="12">
        <f>SUM(Data!$G$2:$G$51)</f>
        <v>1599</v>
      </c>
      <c r="J4" s="12"/>
      <c r="K4" s="12"/>
      <c r="L4" s="12"/>
      <c r="M4" s="14">
        <f>AVERAGE(Data!$I$2:$I$51)</f>
        <v>1648.2706000000001</v>
      </c>
      <c r="N4" s="14"/>
      <c r="O4" s="14"/>
      <c r="P4" s="14"/>
    </row>
    <row r="5" spans="1:16" ht="20" customHeight="1" x14ac:dyDescent="0.35">
      <c r="A5" s="8"/>
      <c r="B5" s="8"/>
      <c r="C5" s="8"/>
      <c r="D5" s="8"/>
      <c r="E5" s="10"/>
      <c r="F5" s="10"/>
      <c r="G5" s="10"/>
      <c r="H5" s="10"/>
      <c r="I5" s="12"/>
      <c r="J5" s="12"/>
      <c r="K5" s="12"/>
      <c r="L5" s="12"/>
      <c r="M5" s="14"/>
      <c r="N5" s="14"/>
      <c r="O5" s="14"/>
      <c r="P5" s="14"/>
    </row>
  </sheetData>
  <mergeCells count="9">
    <mergeCell ref="A1:P1"/>
    <mergeCell ref="A3:D3"/>
    <mergeCell ref="A4:D5"/>
    <mergeCell ref="E3:H3"/>
    <mergeCell ref="E4:H5"/>
    <mergeCell ref="I3:L3"/>
    <mergeCell ref="I4:L5"/>
    <mergeCell ref="M3:P3"/>
    <mergeCell ref="M4:P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1"/>
  <sheetViews>
    <sheetView tabSelected="1" zoomScaleNormal="100" workbookViewId="0">
      <pane ySplit="1" topLeftCell="A2" activePane="bottomLeft" state="frozen"/>
      <selection pane="bottomLeft" activeCell="L14" sqref="L14"/>
    </sheetView>
  </sheetViews>
  <sheetFormatPr defaultColWidth="8.6328125" defaultRowHeight="14.5" x14ac:dyDescent="0.35"/>
  <cols>
    <col min="1" max="1" width="10" customWidth="1"/>
    <col min="2" max="2" width="12.36328125" customWidth="1"/>
    <col min="3" max="3" width="10" customWidth="1"/>
    <col min="4" max="4" width="16" customWidth="1"/>
    <col min="5" max="5" width="12" customWidth="1"/>
    <col min="6" max="6" width="20" customWidth="1"/>
    <col min="7" max="7" width="8" customWidth="1"/>
    <col min="8" max="8" width="11.26953125" customWidth="1"/>
    <col min="9" max="9" width="12" customWidth="1"/>
    <col min="10" max="10" width="14" customWidth="1"/>
    <col min="11" max="11" width="12" customWidth="1"/>
  </cols>
  <sheetData>
    <row r="1" spans="1:11" x14ac:dyDescent="0.35">
      <c r="A1" s="17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</row>
    <row r="2" spans="1:11" x14ac:dyDescent="0.35">
      <c r="A2" s="15" t="s">
        <v>11</v>
      </c>
      <c r="B2" s="2">
        <v>46084</v>
      </c>
      <c r="C2" s="3" t="s">
        <v>12</v>
      </c>
      <c r="D2" s="3" t="s">
        <v>13</v>
      </c>
      <c r="E2" s="3" t="s">
        <v>14</v>
      </c>
      <c r="F2" s="3" t="s">
        <v>15</v>
      </c>
      <c r="G2" s="1">
        <v>11</v>
      </c>
      <c r="H2" s="4">
        <v>156.28</v>
      </c>
      <c r="I2" s="4">
        <f t="shared" ref="I2:I33" si="0">G2*H2</f>
        <v>1719.08</v>
      </c>
      <c r="J2" s="5">
        <v>0.27</v>
      </c>
      <c r="K2" s="16">
        <f t="shared" ref="K2:K33" si="1">I2*J2</f>
        <v>464.15160000000003</v>
      </c>
    </row>
    <row r="3" spans="1:11" x14ac:dyDescent="0.35">
      <c r="A3" s="15" t="s">
        <v>16</v>
      </c>
      <c r="B3" s="2">
        <v>46071</v>
      </c>
      <c r="C3" s="3" t="s">
        <v>17</v>
      </c>
      <c r="D3" s="3" t="s">
        <v>18</v>
      </c>
      <c r="E3" s="3" t="s">
        <v>19</v>
      </c>
      <c r="F3" s="3" t="s">
        <v>20</v>
      </c>
      <c r="G3" s="1">
        <v>16</v>
      </c>
      <c r="H3" s="4">
        <v>9.6300000000000008</v>
      </c>
      <c r="I3" s="4">
        <f t="shared" si="0"/>
        <v>154.08000000000001</v>
      </c>
      <c r="J3" s="5">
        <v>0.25</v>
      </c>
      <c r="K3" s="16">
        <f t="shared" si="1"/>
        <v>38.520000000000003</v>
      </c>
    </row>
    <row r="4" spans="1:11" x14ac:dyDescent="0.35">
      <c r="A4" s="15" t="s">
        <v>21</v>
      </c>
      <c r="B4" s="2">
        <v>46128</v>
      </c>
      <c r="C4" s="3" t="s">
        <v>17</v>
      </c>
      <c r="D4" s="3" t="s">
        <v>22</v>
      </c>
      <c r="E4" s="3" t="s">
        <v>23</v>
      </c>
      <c r="F4" s="3" t="s">
        <v>24</v>
      </c>
      <c r="G4" s="1">
        <v>54</v>
      </c>
      <c r="H4" s="4">
        <v>5.61</v>
      </c>
      <c r="I4" s="4">
        <f t="shared" si="0"/>
        <v>302.94</v>
      </c>
      <c r="J4" s="5">
        <v>0.28999999999999998</v>
      </c>
      <c r="K4" s="16">
        <f t="shared" si="1"/>
        <v>87.852599999999995</v>
      </c>
    </row>
    <row r="5" spans="1:11" x14ac:dyDescent="0.35">
      <c r="A5" s="15" t="s">
        <v>25</v>
      </c>
      <c r="B5" s="2">
        <v>46108</v>
      </c>
      <c r="C5" s="3" t="s">
        <v>17</v>
      </c>
      <c r="D5" s="3" t="s">
        <v>26</v>
      </c>
      <c r="E5" s="3" t="s">
        <v>27</v>
      </c>
      <c r="F5" s="3" t="s">
        <v>28</v>
      </c>
      <c r="G5" s="1">
        <v>16</v>
      </c>
      <c r="H5" s="4">
        <v>53.72</v>
      </c>
      <c r="I5" s="4">
        <f t="shared" si="0"/>
        <v>859.52</v>
      </c>
      <c r="J5" s="5">
        <v>0.18</v>
      </c>
      <c r="K5" s="16">
        <f t="shared" si="1"/>
        <v>154.71359999999999</v>
      </c>
    </row>
    <row r="6" spans="1:11" x14ac:dyDescent="0.35">
      <c r="A6" s="15" t="s">
        <v>29</v>
      </c>
      <c r="B6" s="2">
        <v>46074</v>
      </c>
      <c r="C6" s="3" t="s">
        <v>17</v>
      </c>
      <c r="D6" s="3" t="s">
        <v>30</v>
      </c>
      <c r="E6" s="3" t="s">
        <v>27</v>
      </c>
      <c r="F6" s="3" t="s">
        <v>31</v>
      </c>
      <c r="G6" s="1">
        <v>41</v>
      </c>
      <c r="H6" s="4">
        <v>40.58</v>
      </c>
      <c r="I6" s="4">
        <f t="shared" si="0"/>
        <v>1663.78</v>
      </c>
      <c r="J6" s="5">
        <v>0.11</v>
      </c>
      <c r="K6" s="16">
        <f t="shared" si="1"/>
        <v>183.01579999999998</v>
      </c>
    </row>
    <row r="7" spans="1:11" x14ac:dyDescent="0.35">
      <c r="A7" s="15" t="s">
        <v>32</v>
      </c>
      <c r="B7" s="2">
        <v>46262</v>
      </c>
      <c r="C7" s="3" t="s">
        <v>12</v>
      </c>
      <c r="D7" s="3" t="s">
        <v>33</v>
      </c>
      <c r="E7" s="3" t="s">
        <v>19</v>
      </c>
      <c r="F7" s="3" t="s">
        <v>34</v>
      </c>
      <c r="G7" s="1">
        <v>56</v>
      </c>
      <c r="H7" s="4">
        <v>6.14</v>
      </c>
      <c r="I7" s="4">
        <f t="shared" si="0"/>
        <v>343.84</v>
      </c>
      <c r="J7" s="5">
        <v>0.32</v>
      </c>
      <c r="K7" s="16">
        <f t="shared" si="1"/>
        <v>110.02879999999999</v>
      </c>
    </row>
    <row r="8" spans="1:11" x14ac:dyDescent="0.35">
      <c r="A8" s="15" t="s">
        <v>35</v>
      </c>
      <c r="B8" s="2">
        <v>46212</v>
      </c>
      <c r="C8" s="3" t="s">
        <v>36</v>
      </c>
      <c r="D8" s="3" t="s">
        <v>30</v>
      </c>
      <c r="E8" s="3" t="s">
        <v>19</v>
      </c>
      <c r="F8" s="3" t="s">
        <v>37</v>
      </c>
      <c r="G8" s="1">
        <v>52</v>
      </c>
      <c r="H8" s="4">
        <v>27.23</v>
      </c>
      <c r="I8" s="4">
        <f t="shared" si="0"/>
        <v>1415.96</v>
      </c>
      <c r="J8" s="5">
        <v>0.12</v>
      </c>
      <c r="K8" s="16">
        <f t="shared" si="1"/>
        <v>169.9152</v>
      </c>
    </row>
    <row r="9" spans="1:11" x14ac:dyDescent="0.35">
      <c r="A9" s="15" t="s">
        <v>38</v>
      </c>
      <c r="B9" s="2">
        <v>46146</v>
      </c>
      <c r="C9" s="3" t="s">
        <v>12</v>
      </c>
      <c r="D9" s="3" t="s">
        <v>33</v>
      </c>
      <c r="E9" s="3" t="s">
        <v>27</v>
      </c>
      <c r="F9" s="3" t="s">
        <v>39</v>
      </c>
      <c r="G9" s="1">
        <v>43</v>
      </c>
      <c r="H9" s="4">
        <v>40.85</v>
      </c>
      <c r="I9" s="4">
        <f t="shared" si="0"/>
        <v>1756.55</v>
      </c>
      <c r="J9" s="5">
        <v>0.14000000000000001</v>
      </c>
      <c r="K9" s="16">
        <f t="shared" si="1"/>
        <v>245.91700000000003</v>
      </c>
    </row>
    <row r="10" spans="1:11" x14ac:dyDescent="0.35">
      <c r="A10" s="15" t="s">
        <v>40</v>
      </c>
      <c r="B10" s="2">
        <v>46208</v>
      </c>
      <c r="C10" s="3" t="s">
        <v>36</v>
      </c>
      <c r="D10" s="3" t="s">
        <v>13</v>
      </c>
      <c r="E10" s="3" t="s">
        <v>19</v>
      </c>
      <c r="F10" s="3" t="s">
        <v>37</v>
      </c>
      <c r="G10" s="1">
        <v>37</v>
      </c>
      <c r="H10" s="4">
        <v>38.229999999999997</v>
      </c>
      <c r="I10" s="4">
        <f t="shared" si="0"/>
        <v>1414.51</v>
      </c>
      <c r="J10" s="5">
        <v>0.14000000000000001</v>
      </c>
      <c r="K10" s="16">
        <f t="shared" si="1"/>
        <v>198.03140000000002</v>
      </c>
    </row>
    <row r="11" spans="1:11" x14ac:dyDescent="0.35">
      <c r="A11" s="15" t="s">
        <v>41</v>
      </c>
      <c r="B11" s="2">
        <v>46221</v>
      </c>
      <c r="C11" s="3" t="s">
        <v>42</v>
      </c>
      <c r="D11" s="3" t="s">
        <v>22</v>
      </c>
      <c r="E11" s="3" t="s">
        <v>27</v>
      </c>
      <c r="F11" s="3" t="s">
        <v>43</v>
      </c>
      <c r="G11" s="1">
        <v>17</v>
      </c>
      <c r="H11" s="4">
        <v>10.75</v>
      </c>
      <c r="I11" s="4">
        <f t="shared" si="0"/>
        <v>182.75</v>
      </c>
      <c r="J11" s="5">
        <v>0.3</v>
      </c>
      <c r="K11" s="16">
        <f t="shared" si="1"/>
        <v>54.824999999999996</v>
      </c>
    </row>
    <row r="12" spans="1:11" x14ac:dyDescent="0.35">
      <c r="A12" s="15" t="s">
        <v>44</v>
      </c>
      <c r="B12" s="2">
        <v>46232</v>
      </c>
      <c r="C12" s="3" t="s">
        <v>42</v>
      </c>
      <c r="D12" s="3" t="s">
        <v>30</v>
      </c>
      <c r="E12" s="3" t="s">
        <v>14</v>
      </c>
      <c r="F12" s="3" t="s">
        <v>45</v>
      </c>
      <c r="G12" s="1">
        <v>16</v>
      </c>
      <c r="H12" s="4">
        <v>77.77</v>
      </c>
      <c r="I12" s="4">
        <f t="shared" si="0"/>
        <v>1244.32</v>
      </c>
      <c r="J12" s="5">
        <v>0.2</v>
      </c>
      <c r="K12" s="16">
        <f t="shared" si="1"/>
        <v>248.864</v>
      </c>
    </row>
    <row r="13" spans="1:11" x14ac:dyDescent="0.35">
      <c r="A13" s="15" t="s">
        <v>46</v>
      </c>
      <c r="B13" s="2">
        <v>46261</v>
      </c>
      <c r="C13" s="3" t="s">
        <v>36</v>
      </c>
      <c r="D13" s="3" t="s">
        <v>13</v>
      </c>
      <c r="E13" s="3" t="s">
        <v>14</v>
      </c>
      <c r="F13" s="3" t="s">
        <v>15</v>
      </c>
      <c r="G13" s="1">
        <v>50</v>
      </c>
      <c r="H13" s="4">
        <v>140.52000000000001</v>
      </c>
      <c r="I13" s="4">
        <f t="shared" si="0"/>
        <v>7026.0000000000009</v>
      </c>
      <c r="J13" s="5">
        <v>0.17</v>
      </c>
      <c r="K13" s="16">
        <f t="shared" si="1"/>
        <v>1194.4200000000003</v>
      </c>
    </row>
    <row r="14" spans="1:11" x14ac:dyDescent="0.35">
      <c r="A14" s="15" t="s">
        <v>47</v>
      </c>
      <c r="B14" s="2">
        <v>46246</v>
      </c>
      <c r="C14" s="3" t="s">
        <v>17</v>
      </c>
      <c r="D14" s="3" t="s">
        <v>26</v>
      </c>
      <c r="E14" s="3" t="s">
        <v>14</v>
      </c>
      <c r="F14" s="3" t="s">
        <v>15</v>
      </c>
      <c r="G14" s="1">
        <v>35</v>
      </c>
      <c r="H14" s="4">
        <v>134.41999999999999</v>
      </c>
      <c r="I14" s="4">
        <f t="shared" si="0"/>
        <v>4704.7</v>
      </c>
      <c r="J14" s="5">
        <v>0.28999999999999998</v>
      </c>
      <c r="K14" s="16">
        <f t="shared" si="1"/>
        <v>1364.3629999999998</v>
      </c>
    </row>
    <row r="15" spans="1:11" x14ac:dyDescent="0.35">
      <c r="A15" s="15" t="s">
        <v>48</v>
      </c>
      <c r="B15" s="2">
        <v>46083</v>
      </c>
      <c r="C15" s="3" t="s">
        <v>36</v>
      </c>
      <c r="D15" s="3" t="s">
        <v>49</v>
      </c>
      <c r="E15" s="3" t="s">
        <v>23</v>
      </c>
      <c r="F15" s="3" t="s">
        <v>50</v>
      </c>
      <c r="G15" s="1">
        <v>27</v>
      </c>
      <c r="H15" s="4">
        <v>7.53</v>
      </c>
      <c r="I15" s="4">
        <f t="shared" si="0"/>
        <v>203.31</v>
      </c>
      <c r="J15" s="5">
        <v>0.35</v>
      </c>
      <c r="K15" s="16">
        <f t="shared" si="1"/>
        <v>71.158499999999989</v>
      </c>
    </row>
    <row r="16" spans="1:11" x14ac:dyDescent="0.35">
      <c r="A16" s="15" t="s">
        <v>51</v>
      </c>
      <c r="B16" s="2">
        <v>46155</v>
      </c>
      <c r="C16" s="3" t="s">
        <v>12</v>
      </c>
      <c r="D16" s="3" t="s">
        <v>30</v>
      </c>
      <c r="E16" s="3" t="s">
        <v>52</v>
      </c>
      <c r="F16" s="3" t="s">
        <v>53</v>
      </c>
      <c r="G16" s="1">
        <v>52</v>
      </c>
      <c r="H16" s="4">
        <v>2.2799999999999998</v>
      </c>
      <c r="I16" s="4">
        <f t="shared" si="0"/>
        <v>118.55999999999999</v>
      </c>
      <c r="J16" s="5">
        <v>0.13</v>
      </c>
      <c r="K16" s="16">
        <f t="shared" si="1"/>
        <v>15.412799999999999</v>
      </c>
    </row>
    <row r="17" spans="1:11" x14ac:dyDescent="0.35">
      <c r="A17" s="15" t="s">
        <v>54</v>
      </c>
      <c r="B17" s="2">
        <v>46249</v>
      </c>
      <c r="C17" s="3" t="s">
        <v>36</v>
      </c>
      <c r="D17" s="3" t="s">
        <v>55</v>
      </c>
      <c r="E17" s="3" t="s">
        <v>19</v>
      </c>
      <c r="F17" s="3" t="s">
        <v>34</v>
      </c>
      <c r="G17" s="1">
        <v>35</v>
      </c>
      <c r="H17" s="4">
        <v>6.81</v>
      </c>
      <c r="I17" s="4">
        <f t="shared" si="0"/>
        <v>238.35</v>
      </c>
      <c r="J17" s="5">
        <v>0.23</v>
      </c>
      <c r="K17" s="16">
        <f t="shared" si="1"/>
        <v>54.820500000000003</v>
      </c>
    </row>
    <row r="18" spans="1:11" x14ac:dyDescent="0.35">
      <c r="A18" s="15" t="s">
        <v>56</v>
      </c>
      <c r="B18" s="2">
        <v>46081</v>
      </c>
      <c r="C18" s="3" t="s">
        <v>42</v>
      </c>
      <c r="D18" s="3" t="s">
        <v>22</v>
      </c>
      <c r="E18" s="3" t="s">
        <v>14</v>
      </c>
      <c r="F18" s="3" t="s">
        <v>45</v>
      </c>
      <c r="G18" s="1">
        <v>51</v>
      </c>
      <c r="H18" s="4">
        <v>53.08</v>
      </c>
      <c r="I18" s="4">
        <f t="shared" si="0"/>
        <v>2707.08</v>
      </c>
      <c r="J18" s="5">
        <v>0.34</v>
      </c>
      <c r="K18" s="16">
        <f t="shared" si="1"/>
        <v>920.40719999999999</v>
      </c>
    </row>
    <row r="19" spans="1:11" x14ac:dyDescent="0.35">
      <c r="A19" s="15" t="s">
        <v>57</v>
      </c>
      <c r="B19" s="2">
        <v>46027</v>
      </c>
      <c r="C19" s="3" t="s">
        <v>42</v>
      </c>
      <c r="D19" s="3" t="s">
        <v>55</v>
      </c>
      <c r="E19" s="3" t="s">
        <v>19</v>
      </c>
      <c r="F19" s="3" t="s">
        <v>20</v>
      </c>
      <c r="G19" s="1">
        <v>26</v>
      </c>
      <c r="H19" s="4">
        <v>14.15</v>
      </c>
      <c r="I19" s="4">
        <f t="shared" si="0"/>
        <v>367.90000000000003</v>
      </c>
      <c r="J19" s="5">
        <v>0.31</v>
      </c>
      <c r="K19" s="16">
        <f t="shared" si="1"/>
        <v>114.04900000000001</v>
      </c>
    </row>
    <row r="20" spans="1:11" x14ac:dyDescent="0.35">
      <c r="A20" s="15" t="s">
        <v>58</v>
      </c>
      <c r="B20" s="2">
        <v>46184</v>
      </c>
      <c r="C20" s="3" t="s">
        <v>36</v>
      </c>
      <c r="D20" s="3" t="s">
        <v>18</v>
      </c>
      <c r="E20" s="3" t="s">
        <v>14</v>
      </c>
      <c r="F20" s="3" t="s">
        <v>59</v>
      </c>
      <c r="G20" s="1">
        <v>8</v>
      </c>
      <c r="H20" s="4">
        <v>118.55</v>
      </c>
      <c r="I20" s="4">
        <f t="shared" si="0"/>
        <v>948.4</v>
      </c>
      <c r="J20" s="5">
        <v>0.3</v>
      </c>
      <c r="K20" s="16">
        <f t="shared" si="1"/>
        <v>284.52</v>
      </c>
    </row>
    <row r="21" spans="1:11" x14ac:dyDescent="0.35">
      <c r="A21" s="15" t="s">
        <v>60</v>
      </c>
      <c r="B21" s="2">
        <v>46091</v>
      </c>
      <c r="C21" s="3" t="s">
        <v>36</v>
      </c>
      <c r="D21" s="3" t="s">
        <v>55</v>
      </c>
      <c r="E21" s="3" t="s">
        <v>52</v>
      </c>
      <c r="F21" s="3" t="s">
        <v>61</v>
      </c>
      <c r="G21" s="1">
        <v>19</v>
      </c>
      <c r="H21" s="4">
        <v>3.06</v>
      </c>
      <c r="I21" s="4">
        <f t="shared" si="0"/>
        <v>58.14</v>
      </c>
      <c r="J21" s="5">
        <v>0.25</v>
      </c>
      <c r="K21" s="16">
        <f t="shared" si="1"/>
        <v>14.535</v>
      </c>
    </row>
    <row r="22" spans="1:11" x14ac:dyDescent="0.35">
      <c r="A22" s="15" t="s">
        <v>62</v>
      </c>
      <c r="B22" s="2">
        <v>46135</v>
      </c>
      <c r="C22" s="3" t="s">
        <v>36</v>
      </c>
      <c r="D22" s="3" t="s">
        <v>13</v>
      </c>
      <c r="E22" s="3" t="s">
        <v>23</v>
      </c>
      <c r="F22" s="3" t="s">
        <v>24</v>
      </c>
      <c r="G22" s="1">
        <v>31</v>
      </c>
      <c r="H22" s="4">
        <v>5.7</v>
      </c>
      <c r="I22" s="4">
        <f t="shared" si="0"/>
        <v>176.70000000000002</v>
      </c>
      <c r="J22" s="5">
        <v>0.21</v>
      </c>
      <c r="K22" s="16">
        <f t="shared" si="1"/>
        <v>37.106999999999999</v>
      </c>
    </row>
    <row r="23" spans="1:11" x14ac:dyDescent="0.35">
      <c r="A23" s="15" t="s">
        <v>63</v>
      </c>
      <c r="B23" s="2">
        <v>46153</v>
      </c>
      <c r="C23" s="3" t="s">
        <v>36</v>
      </c>
      <c r="D23" s="3" t="s">
        <v>30</v>
      </c>
      <c r="E23" s="3" t="s">
        <v>27</v>
      </c>
      <c r="F23" s="3" t="s">
        <v>43</v>
      </c>
      <c r="G23" s="1">
        <v>40</v>
      </c>
      <c r="H23" s="4">
        <v>8.8800000000000008</v>
      </c>
      <c r="I23" s="4">
        <f t="shared" si="0"/>
        <v>355.20000000000005</v>
      </c>
      <c r="J23" s="5">
        <v>0.25</v>
      </c>
      <c r="K23" s="16">
        <f t="shared" si="1"/>
        <v>88.800000000000011</v>
      </c>
    </row>
    <row r="24" spans="1:11" x14ac:dyDescent="0.35">
      <c r="A24" s="15" t="s">
        <v>64</v>
      </c>
      <c r="B24" s="2">
        <v>46030</v>
      </c>
      <c r="C24" s="3" t="s">
        <v>12</v>
      </c>
      <c r="D24" s="3" t="s">
        <v>18</v>
      </c>
      <c r="E24" s="3" t="s">
        <v>14</v>
      </c>
      <c r="F24" s="3" t="s">
        <v>59</v>
      </c>
      <c r="G24" s="1">
        <v>60</v>
      </c>
      <c r="H24" s="4">
        <v>62.51</v>
      </c>
      <c r="I24" s="4">
        <f t="shared" si="0"/>
        <v>3750.6</v>
      </c>
      <c r="J24" s="5">
        <v>0.18</v>
      </c>
      <c r="K24" s="16">
        <f t="shared" si="1"/>
        <v>675.10799999999995</v>
      </c>
    </row>
    <row r="25" spans="1:11" x14ac:dyDescent="0.35">
      <c r="A25" s="15" t="s">
        <v>65</v>
      </c>
      <c r="B25" s="2">
        <v>46148</v>
      </c>
      <c r="C25" s="3" t="s">
        <v>42</v>
      </c>
      <c r="D25" s="3" t="s">
        <v>55</v>
      </c>
      <c r="E25" s="3" t="s">
        <v>14</v>
      </c>
      <c r="F25" s="3" t="s">
        <v>15</v>
      </c>
      <c r="G25" s="1">
        <v>49</v>
      </c>
      <c r="H25" s="4">
        <v>174.2</v>
      </c>
      <c r="I25" s="4">
        <f t="shared" si="0"/>
        <v>8535.7999999999993</v>
      </c>
      <c r="J25" s="5">
        <v>0.24</v>
      </c>
      <c r="K25" s="16">
        <f t="shared" si="1"/>
        <v>2048.5919999999996</v>
      </c>
    </row>
    <row r="26" spans="1:11" x14ac:dyDescent="0.35">
      <c r="A26" s="15" t="s">
        <v>66</v>
      </c>
      <c r="B26" s="2">
        <v>46269</v>
      </c>
      <c r="C26" s="3" t="s">
        <v>36</v>
      </c>
      <c r="D26" s="3" t="s">
        <v>55</v>
      </c>
      <c r="E26" s="3" t="s">
        <v>23</v>
      </c>
      <c r="F26" s="3" t="s">
        <v>67</v>
      </c>
      <c r="G26" s="1">
        <v>9</v>
      </c>
      <c r="H26" s="4">
        <v>7.58</v>
      </c>
      <c r="I26" s="4">
        <f t="shared" si="0"/>
        <v>68.22</v>
      </c>
      <c r="J26" s="5">
        <v>0.21</v>
      </c>
      <c r="K26" s="16">
        <f t="shared" si="1"/>
        <v>14.3262</v>
      </c>
    </row>
    <row r="27" spans="1:11" x14ac:dyDescent="0.35">
      <c r="A27" s="15" t="s">
        <v>68</v>
      </c>
      <c r="B27" s="2">
        <v>46243</v>
      </c>
      <c r="C27" s="3" t="s">
        <v>17</v>
      </c>
      <c r="D27" s="3" t="s">
        <v>55</v>
      </c>
      <c r="E27" s="3" t="s">
        <v>19</v>
      </c>
      <c r="F27" s="3" t="s">
        <v>20</v>
      </c>
      <c r="G27" s="1">
        <v>6</v>
      </c>
      <c r="H27" s="4">
        <v>10.82</v>
      </c>
      <c r="I27" s="4">
        <f t="shared" si="0"/>
        <v>64.92</v>
      </c>
      <c r="J27" s="5">
        <v>0.18</v>
      </c>
      <c r="K27" s="16">
        <f t="shared" si="1"/>
        <v>11.685599999999999</v>
      </c>
    </row>
    <row r="28" spans="1:11" x14ac:dyDescent="0.35">
      <c r="A28" s="15" t="s">
        <v>69</v>
      </c>
      <c r="B28" s="2">
        <v>46082</v>
      </c>
      <c r="C28" s="3" t="s">
        <v>36</v>
      </c>
      <c r="D28" s="3" t="s">
        <v>22</v>
      </c>
      <c r="E28" s="3" t="s">
        <v>14</v>
      </c>
      <c r="F28" s="3" t="s">
        <v>70</v>
      </c>
      <c r="G28" s="1">
        <v>11</v>
      </c>
      <c r="H28" s="4">
        <v>95.31</v>
      </c>
      <c r="I28" s="4">
        <f t="shared" si="0"/>
        <v>1048.4100000000001</v>
      </c>
      <c r="J28" s="5">
        <v>0.17</v>
      </c>
      <c r="K28" s="16">
        <f t="shared" si="1"/>
        <v>178.22970000000004</v>
      </c>
    </row>
    <row r="29" spans="1:11" x14ac:dyDescent="0.35">
      <c r="A29" s="15" t="s">
        <v>71</v>
      </c>
      <c r="B29" s="2">
        <v>46154</v>
      </c>
      <c r="C29" s="3" t="s">
        <v>12</v>
      </c>
      <c r="D29" s="3" t="s">
        <v>55</v>
      </c>
      <c r="E29" s="3" t="s">
        <v>52</v>
      </c>
      <c r="F29" s="3" t="s">
        <v>72</v>
      </c>
      <c r="G29" s="1">
        <v>6</v>
      </c>
      <c r="H29" s="4">
        <v>3.96</v>
      </c>
      <c r="I29" s="4">
        <f t="shared" si="0"/>
        <v>23.759999999999998</v>
      </c>
      <c r="J29" s="5">
        <v>0.24</v>
      </c>
      <c r="K29" s="16">
        <f t="shared" si="1"/>
        <v>5.702399999999999</v>
      </c>
    </row>
    <row r="30" spans="1:11" x14ac:dyDescent="0.35">
      <c r="A30" s="15" t="s">
        <v>73</v>
      </c>
      <c r="B30" s="2">
        <v>46034</v>
      </c>
      <c r="C30" s="3" t="s">
        <v>12</v>
      </c>
      <c r="D30" s="3" t="s">
        <v>22</v>
      </c>
      <c r="E30" s="3" t="s">
        <v>14</v>
      </c>
      <c r="F30" s="3" t="s">
        <v>70</v>
      </c>
      <c r="G30" s="1">
        <v>34</v>
      </c>
      <c r="H30" s="4">
        <v>98.88</v>
      </c>
      <c r="I30" s="4">
        <f t="shared" si="0"/>
        <v>3361.92</v>
      </c>
      <c r="J30" s="5">
        <v>0.32</v>
      </c>
      <c r="K30" s="16">
        <f t="shared" si="1"/>
        <v>1075.8144</v>
      </c>
    </row>
    <row r="31" spans="1:11" x14ac:dyDescent="0.35">
      <c r="A31" s="15" t="s">
        <v>74</v>
      </c>
      <c r="B31" s="2">
        <v>46057</v>
      </c>
      <c r="C31" s="3" t="s">
        <v>36</v>
      </c>
      <c r="D31" s="3" t="s">
        <v>33</v>
      </c>
      <c r="E31" s="3" t="s">
        <v>19</v>
      </c>
      <c r="F31" s="3" t="s">
        <v>75</v>
      </c>
      <c r="G31" s="1">
        <v>19</v>
      </c>
      <c r="H31" s="4">
        <v>28.9</v>
      </c>
      <c r="I31" s="4">
        <f t="shared" si="0"/>
        <v>549.1</v>
      </c>
      <c r="J31" s="5">
        <v>0.3</v>
      </c>
      <c r="K31" s="16">
        <f t="shared" si="1"/>
        <v>164.73</v>
      </c>
    </row>
    <row r="32" spans="1:11" x14ac:dyDescent="0.35">
      <c r="A32" s="15" t="s">
        <v>76</v>
      </c>
      <c r="B32" s="2">
        <v>46173</v>
      </c>
      <c r="C32" s="3" t="s">
        <v>17</v>
      </c>
      <c r="D32" s="3" t="s">
        <v>55</v>
      </c>
      <c r="E32" s="3" t="s">
        <v>14</v>
      </c>
      <c r="F32" s="3" t="s">
        <v>15</v>
      </c>
      <c r="G32" s="1">
        <v>21</v>
      </c>
      <c r="H32" s="4">
        <v>109.59</v>
      </c>
      <c r="I32" s="4">
        <f t="shared" si="0"/>
        <v>2301.39</v>
      </c>
      <c r="J32" s="5">
        <v>0.11</v>
      </c>
      <c r="K32" s="16">
        <f t="shared" si="1"/>
        <v>253.15289999999999</v>
      </c>
    </row>
    <row r="33" spans="1:11" x14ac:dyDescent="0.35">
      <c r="A33" s="15" t="s">
        <v>77</v>
      </c>
      <c r="B33" s="2">
        <v>46058</v>
      </c>
      <c r="C33" s="3" t="s">
        <v>42</v>
      </c>
      <c r="D33" s="3" t="s">
        <v>18</v>
      </c>
      <c r="E33" s="3" t="s">
        <v>19</v>
      </c>
      <c r="F33" s="3" t="s">
        <v>75</v>
      </c>
      <c r="G33" s="1">
        <v>35</v>
      </c>
      <c r="H33" s="4">
        <v>28.79</v>
      </c>
      <c r="I33" s="4">
        <f t="shared" si="0"/>
        <v>1007.65</v>
      </c>
      <c r="J33" s="5">
        <v>0.23</v>
      </c>
      <c r="K33" s="16">
        <f t="shared" si="1"/>
        <v>231.7595</v>
      </c>
    </row>
    <row r="34" spans="1:11" x14ac:dyDescent="0.35">
      <c r="A34" s="15" t="s">
        <v>78</v>
      </c>
      <c r="B34" s="2">
        <v>46056</v>
      </c>
      <c r="C34" s="3" t="s">
        <v>12</v>
      </c>
      <c r="D34" s="3" t="s">
        <v>49</v>
      </c>
      <c r="E34" s="3" t="s">
        <v>19</v>
      </c>
      <c r="F34" s="3" t="s">
        <v>20</v>
      </c>
      <c r="G34" s="1">
        <v>46</v>
      </c>
      <c r="H34" s="4">
        <v>14.03</v>
      </c>
      <c r="I34" s="4">
        <f t="shared" ref="I34:I65" si="2">G34*H34</f>
        <v>645.38</v>
      </c>
      <c r="J34" s="5">
        <v>0.2</v>
      </c>
      <c r="K34" s="16">
        <f t="shared" ref="K34:K65" si="3">I34*J34</f>
        <v>129.07599999999999</v>
      </c>
    </row>
    <row r="35" spans="1:11" x14ac:dyDescent="0.35">
      <c r="A35" s="15" t="s">
        <v>79</v>
      </c>
      <c r="B35" s="2">
        <v>46153</v>
      </c>
      <c r="C35" s="3" t="s">
        <v>12</v>
      </c>
      <c r="D35" s="3" t="s">
        <v>30</v>
      </c>
      <c r="E35" s="3" t="s">
        <v>23</v>
      </c>
      <c r="F35" s="3" t="s">
        <v>24</v>
      </c>
      <c r="G35" s="1">
        <v>19</v>
      </c>
      <c r="H35" s="4">
        <v>3.61</v>
      </c>
      <c r="I35" s="4">
        <f t="shared" si="2"/>
        <v>68.59</v>
      </c>
      <c r="J35" s="5">
        <v>0.28000000000000003</v>
      </c>
      <c r="K35" s="16">
        <f t="shared" si="3"/>
        <v>19.205200000000001</v>
      </c>
    </row>
    <row r="36" spans="1:11" x14ac:dyDescent="0.35">
      <c r="A36" s="15" t="s">
        <v>80</v>
      </c>
      <c r="B36" s="2">
        <v>46149</v>
      </c>
      <c r="C36" s="3" t="s">
        <v>42</v>
      </c>
      <c r="D36" s="3" t="s">
        <v>33</v>
      </c>
      <c r="E36" s="3" t="s">
        <v>14</v>
      </c>
      <c r="F36" s="3" t="s">
        <v>45</v>
      </c>
      <c r="G36" s="1">
        <v>32</v>
      </c>
      <c r="H36" s="4">
        <v>60.81</v>
      </c>
      <c r="I36" s="4">
        <f t="shared" si="2"/>
        <v>1945.92</v>
      </c>
      <c r="J36" s="5">
        <v>0.28999999999999998</v>
      </c>
      <c r="K36" s="16">
        <f t="shared" si="3"/>
        <v>564.31679999999994</v>
      </c>
    </row>
    <row r="37" spans="1:11" x14ac:dyDescent="0.35">
      <c r="A37" s="15" t="s">
        <v>81</v>
      </c>
      <c r="B37" s="2">
        <v>46064</v>
      </c>
      <c r="C37" s="3" t="s">
        <v>12</v>
      </c>
      <c r="D37" s="3" t="s">
        <v>55</v>
      </c>
      <c r="E37" s="3" t="s">
        <v>52</v>
      </c>
      <c r="F37" s="3" t="s">
        <v>72</v>
      </c>
      <c r="G37" s="1">
        <v>7</v>
      </c>
      <c r="H37" s="4">
        <v>3.61</v>
      </c>
      <c r="I37" s="4">
        <f t="shared" si="2"/>
        <v>25.27</v>
      </c>
      <c r="J37" s="5">
        <v>0.23</v>
      </c>
      <c r="K37" s="16">
        <f t="shared" si="3"/>
        <v>5.8121</v>
      </c>
    </row>
    <row r="38" spans="1:11" x14ac:dyDescent="0.35">
      <c r="A38" s="15" t="s">
        <v>82</v>
      </c>
      <c r="B38" s="2">
        <v>46094</v>
      </c>
      <c r="C38" s="3" t="s">
        <v>42</v>
      </c>
      <c r="D38" s="3" t="s">
        <v>30</v>
      </c>
      <c r="E38" s="3" t="s">
        <v>14</v>
      </c>
      <c r="F38" s="3" t="s">
        <v>45</v>
      </c>
      <c r="G38" s="1">
        <v>21</v>
      </c>
      <c r="H38" s="4">
        <v>52.89</v>
      </c>
      <c r="I38" s="4">
        <f t="shared" si="2"/>
        <v>1110.69</v>
      </c>
      <c r="J38" s="5">
        <v>0.31</v>
      </c>
      <c r="K38" s="16">
        <f t="shared" si="3"/>
        <v>344.31389999999999</v>
      </c>
    </row>
    <row r="39" spans="1:11" x14ac:dyDescent="0.35">
      <c r="A39" s="15" t="s">
        <v>83</v>
      </c>
      <c r="B39" s="2">
        <v>46181</v>
      </c>
      <c r="C39" s="3" t="s">
        <v>12</v>
      </c>
      <c r="D39" s="3" t="s">
        <v>13</v>
      </c>
      <c r="E39" s="3" t="s">
        <v>19</v>
      </c>
      <c r="F39" s="3" t="s">
        <v>37</v>
      </c>
      <c r="G39" s="1">
        <v>19</v>
      </c>
      <c r="H39" s="4">
        <v>22.89</v>
      </c>
      <c r="I39" s="4">
        <f t="shared" si="2"/>
        <v>434.91</v>
      </c>
      <c r="J39" s="5">
        <v>0.13</v>
      </c>
      <c r="K39" s="16">
        <f t="shared" si="3"/>
        <v>56.538300000000007</v>
      </c>
    </row>
    <row r="40" spans="1:11" x14ac:dyDescent="0.35">
      <c r="A40" s="15" t="s">
        <v>84</v>
      </c>
      <c r="B40" s="2">
        <v>46106</v>
      </c>
      <c r="C40" s="3" t="s">
        <v>42</v>
      </c>
      <c r="D40" s="3" t="s">
        <v>13</v>
      </c>
      <c r="E40" s="3" t="s">
        <v>52</v>
      </c>
      <c r="F40" s="3" t="s">
        <v>61</v>
      </c>
      <c r="G40" s="1">
        <v>48</v>
      </c>
      <c r="H40" s="4">
        <v>2.69</v>
      </c>
      <c r="I40" s="4">
        <f t="shared" si="2"/>
        <v>129.12</v>
      </c>
      <c r="J40" s="5">
        <v>0.27</v>
      </c>
      <c r="K40" s="16">
        <f t="shared" si="3"/>
        <v>34.862400000000001</v>
      </c>
    </row>
    <row r="41" spans="1:11" x14ac:dyDescent="0.35">
      <c r="A41" s="15" t="s">
        <v>85</v>
      </c>
      <c r="B41" s="2">
        <v>46162</v>
      </c>
      <c r="C41" s="3" t="s">
        <v>17</v>
      </c>
      <c r="D41" s="3" t="s">
        <v>13</v>
      </c>
      <c r="E41" s="3" t="s">
        <v>19</v>
      </c>
      <c r="F41" s="3" t="s">
        <v>20</v>
      </c>
      <c r="G41" s="1">
        <v>43</v>
      </c>
      <c r="H41" s="4">
        <v>10.97</v>
      </c>
      <c r="I41" s="4">
        <f t="shared" si="2"/>
        <v>471.71000000000004</v>
      </c>
      <c r="J41" s="5">
        <v>0.17</v>
      </c>
      <c r="K41" s="16">
        <f t="shared" si="3"/>
        <v>80.190700000000007</v>
      </c>
    </row>
    <row r="42" spans="1:11" x14ac:dyDescent="0.35">
      <c r="A42" s="15" t="s">
        <v>86</v>
      </c>
      <c r="B42" s="2">
        <v>46028</v>
      </c>
      <c r="C42" s="3" t="s">
        <v>42</v>
      </c>
      <c r="D42" s="3" t="s">
        <v>49</v>
      </c>
      <c r="E42" s="3" t="s">
        <v>27</v>
      </c>
      <c r="F42" s="3" t="s">
        <v>28</v>
      </c>
      <c r="G42" s="1">
        <v>50</v>
      </c>
      <c r="H42" s="4">
        <v>38.26</v>
      </c>
      <c r="I42" s="4">
        <f t="shared" si="2"/>
        <v>1913</v>
      </c>
      <c r="J42" s="5">
        <v>0.28000000000000003</v>
      </c>
      <c r="K42" s="16">
        <f t="shared" si="3"/>
        <v>535.6400000000001</v>
      </c>
    </row>
    <row r="43" spans="1:11" x14ac:dyDescent="0.35">
      <c r="A43" s="15" t="s">
        <v>87</v>
      </c>
      <c r="B43" s="2">
        <v>46031</v>
      </c>
      <c r="C43" s="3" t="s">
        <v>12</v>
      </c>
      <c r="D43" s="3" t="s">
        <v>30</v>
      </c>
      <c r="E43" s="3" t="s">
        <v>14</v>
      </c>
      <c r="F43" s="3" t="s">
        <v>59</v>
      </c>
      <c r="G43" s="1">
        <v>56</v>
      </c>
      <c r="H43" s="4">
        <v>89.54</v>
      </c>
      <c r="I43" s="4">
        <f t="shared" si="2"/>
        <v>5014.2400000000007</v>
      </c>
      <c r="J43" s="5">
        <v>0.24</v>
      </c>
      <c r="K43" s="16">
        <f t="shared" si="3"/>
        <v>1203.4176000000002</v>
      </c>
    </row>
    <row r="44" spans="1:11" x14ac:dyDescent="0.35">
      <c r="A44" s="15" t="s">
        <v>88</v>
      </c>
      <c r="B44" s="2">
        <v>46247</v>
      </c>
      <c r="C44" s="3" t="s">
        <v>36</v>
      </c>
      <c r="D44" s="3" t="s">
        <v>18</v>
      </c>
      <c r="E44" s="3" t="s">
        <v>27</v>
      </c>
      <c r="F44" s="3" t="s">
        <v>31</v>
      </c>
      <c r="G44" s="1">
        <v>60</v>
      </c>
      <c r="H44" s="4">
        <v>67.319999999999993</v>
      </c>
      <c r="I44" s="4">
        <f t="shared" si="2"/>
        <v>4039.2</v>
      </c>
      <c r="J44" s="5">
        <v>0.34</v>
      </c>
      <c r="K44" s="16">
        <f t="shared" si="3"/>
        <v>1373.328</v>
      </c>
    </row>
    <row r="45" spans="1:11" x14ac:dyDescent="0.35">
      <c r="A45" s="15" t="s">
        <v>89</v>
      </c>
      <c r="B45" s="2">
        <v>46047</v>
      </c>
      <c r="C45" s="3" t="s">
        <v>42</v>
      </c>
      <c r="D45" s="3" t="s">
        <v>22</v>
      </c>
      <c r="E45" s="3" t="s">
        <v>14</v>
      </c>
      <c r="F45" s="3" t="s">
        <v>59</v>
      </c>
      <c r="G45" s="1">
        <v>25</v>
      </c>
      <c r="H45" s="4">
        <v>122.41</v>
      </c>
      <c r="I45" s="4">
        <f t="shared" si="2"/>
        <v>3060.25</v>
      </c>
      <c r="J45" s="5">
        <v>0.32</v>
      </c>
      <c r="K45" s="16">
        <f t="shared" si="3"/>
        <v>979.28</v>
      </c>
    </row>
    <row r="46" spans="1:11" x14ac:dyDescent="0.35">
      <c r="A46" s="15" t="s">
        <v>90</v>
      </c>
      <c r="B46" s="2">
        <v>46235</v>
      </c>
      <c r="C46" s="3" t="s">
        <v>36</v>
      </c>
      <c r="D46" s="3" t="s">
        <v>22</v>
      </c>
      <c r="E46" s="3" t="s">
        <v>14</v>
      </c>
      <c r="F46" s="3" t="s">
        <v>15</v>
      </c>
      <c r="G46" s="1">
        <v>59</v>
      </c>
      <c r="H46" s="4">
        <v>127.11</v>
      </c>
      <c r="I46" s="4">
        <f t="shared" si="2"/>
        <v>7499.49</v>
      </c>
      <c r="J46" s="5">
        <v>0.14000000000000001</v>
      </c>
      <c r="K46" s="16">
        <f t="shared" si="3"/>
        <v>1049.9286</v>
      </c>
    </row>
    <row r="47" spans="1:11" x14ac:dyDescent="0.35">
      <c r="A47" s="15" t="s">
        <v>91</v>
      </c>
      <c r="B47" s="2">
        <v>46197</v>
      </c>
      <c r="C47" s="3" t="s">
        <v>17</v>
      </c>
      <c r="D47" s="3" t="s">
        <v>22</v>
      </c>
      <c r="E47" s="3" t="s">
        <v>27</v>
      </c>
      <c r="F47" s="3" t="s">
        <v>28</v>
      </c>
      <c r="G47" s="1">
        <v>53</v>
      </c>
      <c r="H47" s="4">
        <v>46.04</v>
      </c>
      <c r="I47" s="4">
        <f t="shared" si="2"/>
        <v>2440.12</v>
      </c>
      <c r="J47" s="5">
        <v>0.2</v>
      </c>
      <c r="K47" s="16">
        <f t="shared" si="3"/>
        <v>488.024</v>
      </c>
    </row>
    <row r="48" spans="1:11" x14ac:dyDescent="0.35">
      <c r="A48" s="15" t="s">
        <v>92</v>
      </c>
      <c r="B48" s="2">
        <v>46046</v>
      </c>
      <c r="C48" s="3" t="s">
        <v>17</v>
      </c>
      <c r="D48" s="3" t="s">
        <v>22</v>
      </c>
      <c r="E48" s="3" t="s">
        <v>14</v>
      </c>
      <c r="F48" s="3" t="s">
        <v>70</v>
      </c>
      <c r="G48" s="1">
        <v>25</v>
      </c>
      <c r="H48" s="4">
        <v>88.31</v>
      </c>
      <c r="I48" s="4">
        <f t="shared" si="2"/>
        <v>2207.75</v>
      </c>
      <c r="J48" s="5">
        <v>0.3</v>
      </c>
      <c r="K48" s="16">
        <f t="shared" si="3"/>
        <v>662.32499999999993</v>
      </c>
    </row>
    <row r="49" spans="1:11" x14ac:dyDescent="0.35">
      <c r="A49" s="15" t="s">
        <v>93</v>
      </c>
      <c r="B49" s="2">
        <v>46143</v>
      </c>
      <c r="C49" s="3" t="s">
        <v>36</v>
      </c>
      <c r="D49" s="3" t="s">
        <v>18</v>
      </c>
      <c r="E49" s="3" t="s">
        <v>14</v>
      </c>
      <c r="F49" s="3" t="s">
        <v>70</v>
      </c>
      <c r="G49" s="1">
        <v>24</v>
      </c>
      <c r="H49" s="4">
        <v>86.72</v>
      </c>
      <c r="I49" s="4">
        <f t="shared" si="2"/>
        <v>2081.2799999999997</v>
      </c>
      <c r="J49" s="5">
        <v>0.12</v>
      </c>
      <c r="K49" s="16">
        <f t="shared" si="3"/>
        <v>249.75359999999995</v>
      </c>
    </row>
    <row r="50" spans="1:11" x14ac:dyDescent="0.35">
      <c r="A50" s="15" t="s">
        <v>94</v>
      </c>
      <c r="B50" s="2">
        <v>46169</v>
      </c>
      <c r="C50" s="3" t="s">
        <v>42</v>
      </c>
      <c r="D50" s="3" t="s">
        <v>33</v>
      </c>
      <c r="E50" s="3" t="s">
        <v>52</v>
      </c>
      <c r="F50" s="3" t="s">
        <v>53</v>
      </c>
      <c r="G50" s="1">
        <v>4</v>
      </c>
      <c r="H50" s="4">
        <v>1.23</v>
      </c>
      <c r="I50" s="4">
        <f t="shared" si="2"/>
        <v>4.92</v>
      </c>
      <c r="J50" s="5">
        <v>0.34</v>
      </c>
      <c r="K50" s="16">
        <f t="shared" si="3"/>
        <v>1.6728000000000001</v>
      </c>
    </row>
    <row r="51" spans="1:11" x14ac:dyDescent="0.35">
      <c r="A51" s="20" t="s">
        <v>95</v>
      </c>
      <c r="B51" s="21">
        <v>46118</v>
      </c>
      <c r="C51" s="22" t="s">
        <v>42</v>
      </c>
      <c r="D51" s="22" t="s">
        <v>18</v>
      </c>
      <c r="E51" s="22" t="s">
        <v>19</v>
      </c>
      <c r="F51" s="22" t="s">
        <v>75</v>
      </c>
      <c r="G51" s="23">
        <v>25</v>
      </c>
      <c r="H51" s="24">
        <v>25.93</v>
      </c>
      <c r="I51" s="24">
        <f t="shared" si="2"/>
        <v>648.25</v>
      </c>
      <c r="J51" s="25">
        <v>0.18</v>
      </c>
      <c r="K51" s="26">
        <f t="shared" si="3"/>
        <v>116.685</v>
      </c>
    </row>
  </sheetData>
  <pageMargins left="0.75" right="0.75" top="1" bottom="1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2737D-FBE9-4060-BFF4-5C7306E8638F}">
  <sheetPr codeName="Sheet5"/>
  <dimension ref="A1:K13"/>
  <sheetViews>
    <sheetView workbookViewId="0"/>
  </sheetViews>
  <sheetFormatPr defaultRowHeight="14.5" x14ac:dyDescent="0.35"/>
  <sheetData>
    <row r="1" spans="1:11" x14ac:dyDescent="0.35">
      <c r="A1" t="s">
        <v>2</v>
      </c>
      <c r="B1" t="s">
        <v>8</v>
      </c>
      <c r="D1" t="s">
        <v>4</v>
      </c>
      <c r="E1" t="s">
        <v>8</v>
      </c>
      <c r="G1" t="s">
        <v>96</v>
      </c>
      <c r="H1" t="s">
        <v>8</v>
      </c>
      <c r="J1" t="s">
        <v>3</v>
      </c>
      <c r="K1" t="s">
        <v>8</v>
      </c>
    </row>
    <row r="2" spans="1:11" x14ac:dyDescent="0.35">
      <c r="A2" t="s">
        <v>12</v>
      </c>
      <c r="B2">
        <f>SUMIF(Data!$C$2:$C$51,A2,Data!$I$2:$I$51)</f>
        <v>17262.7</v>
      </c>
      <c r="D2" t="s">
        <v>19</v>
      </c>
      <c r="E2">
        <f>SUMIF(Data!$E$2:$E$51,D2,Data!$I$2:$I$51)</f>
        <v>7756.56</v>
      </c>
      <c r="G2" t="s">
        <v>97</v>
      </c>
      <c r="H2">
        <f>SUMPRODUCT((MONTH(Data!$B$2:$B$51)=1)*Data!$I$2:$I$51)</f>
        <v>19675.66</v>
      </c>
      <c r="J2" t="s">
        <v>22</v>
      </c>
      <c r="K2">
        <v>22810.71</v>
      </c>
    </row>
    <row r="3" spans="1:11" x14ac:dyDescent="0.35">
      <c r="A3" t="s">
        <v>36</v>
      </c>
      <c r="B3">
        <f>SUMIF(Data!$C$2:$C$51,A3,Data!$I$2:$I$51)</f>
        <v>27122.269999999997</v>
      </c>
      <c r="D3" t="s">
        <v>14</v>
      </c>
      <c r="E3">
        <f>SUMIF(Data!$E$2:$E$51,D3,Data!$I$2:$I$51)</f>
        <v>60267.319999999992</v>
      </c>
      <c r="G3" t="s">
        <v>98</v>
      </c>
      <c r="H3">
        <f>SUMPRODUCT((MONTH(Data!$B$2:$B$51)=2)*Data!$I$2:$I$51)</f>
        <v>6752.34</v>
      </c>
      <c r="J3" t="s">
        <v>18</v>
      </c>
      <c r="K3">
        <v>12629.46</v>
      </c>
    </row>
    <row r="4" spans="1:11" x14ac:dyDescent="0.35">
      <c r="A4" t="s">
        <v>42</v>
      </c>
      <c r="B4">
        <f>SUMIF(Data!$C$2:$C$51,A4,Data!$I$2:$I$51)</f>
        <v>22857.649999999994</v>
      </c>
      <c r="D4" t="s">
        <v>27</v>
      </c>
      <c r="E4">
        <f>SUMIF(Data!$E$2:$E$51,D4,Data!$I$2:$I$51)</f>
        <v>13210.119999999999</v>
      </c>
      <c r="G4" t="s">
        <v>99</v>
      </c>
      <c r="H4">
        <f>SUMPRODUCT((MONTH(Data!$B$2:$B$51)=3)*Data!$I$2:$I$51)</f>
        <v>5128.2699999999995</v>
      </c>
      <c r="J4" t="s">
        <v>55</v>
      </c>
      <c r="K4">
        <v>11683.749999999998</v>
      </c>
    </row>
    <row r="5" spans="1:11" x14ac:dyDescent="0.35">
      <c r="A5" t="s">
        <v>17</v>
      </c>
      <c r="B5">
        <f>SUMIF(Data!$C$2:$C$51,A5,Data!$I$2:$I$51)</f>
        <v>15170.91</v>
      </c>
      <c r="D5" t="s">
        <v>23</v>
      </c>
      <c r="E5">
        <f>SUMIF(Data!$E$2:$E$51,D5,Data!$I$2:$I$51)</f>
        <v>819.7600000000001</v>
      </c>
      <c r="G5" t="s">
        <v>100</v>
      </c>
      <c r="H5">
        <f>SUMPRODUCT((MONTH(Data!$B$2:$B$51)=4)*Data!$I$2:$I$51)</f>
        <v>1127.8899999999999</v>
      </c>
      <c r="J5" t="s">
        <v>13</v>
      </c>
      <c r="K5">
        <v>11372.030000000002</v>
      </c>
    </row>
    <row r="6" spans="1:11" x14ac:dyDescent="0.35">
      <c r="D6" t="s">
        <v>52</v>
      </c>
      <c r="E6">
        <f>SUMIF(Data!$E$2:$E$51,D6,Data!$I$2:$I$51)</f>
        <v>359.77000000000004</v>
      </c>
      <c r="G6" t="s">
        <v>101</v>
      </c>
      <c r="H6">
        <f>SUMPRODUCT((MONTH(Data!$B$2:$B$51)=5)*Data!$I$2:$I$51)</f>
        <v>17663.679999999997</v>
      </c>
      <c r="J6" t="s">
        <v>30</v>
      </c>
      <c r="K6">
        <v>10991.34</v>
      </c>
    </row>
    <row r="7" spans="1:11" x14ac:dyDescent="0.35">
      <c r="G7" t="s">
        <v>102</v>
      </c>
      <c r="H7">
        <f>SUMPRODUCT((MONTH(Data!$B$2:$B$51)=6)*Data!$I$2:$I$51)</f>
        <v>3823.43</v>
      </c>
      <c r="J7" t="s">
        <v>26</v>
      </c>
      <c r="K7">
        <v>5564.2199999999993</v>
      </c>
    </row>
    <row r="8" spans="1:11" x14ac:dyDescent="0.35">
      <c r="G8" t="s">
        <v>103</v>
      </c>
      <c r="H8">
        <f>SUMPRODUCT((MONTH(Data!$B$2:$B$51)=7)*Data!$I$2:$I$51)</f>
        <v>4257.54</v>
      </c>
      <c r="J8" t="s">
        <v>33</v>
      </c>
      <c r="K8">
        <v>4600.33</v>
      </c>
    </row>
    <row r="9" spans="1:11" x14ac:dyDescent="0.35">
      <c r="G9" t="s">
        <v>104</v>
      </c>
      <c r="H9">
        <f>SUMPRODUCT((MONTH(Data!$B$2:$B$51)=8)*Data!$I$2:$I$51)</f>
        <v>23916.5</v>
      </c>
      <c r="J9" t="s">
        <v>49</v>
      </c>
      <c r="K9">
        <v>2761.69</v>
      </c>
    </row>
    <row r="10" spans="1:11" x14ac:dyDescent="0.35">
      <c r="G10" t="s">
        <v>105</v>
      </c>
      <c r="H10">
        <f>SUMPRODUCT((MONTH(Data!$B$2:$B$51)=9)*Data!$I$2:$I$51)</f>
        <v>68.22</v>
      </c>
    </row>
    <row r="11" spans="1:11" x14ac:dyDescent="0.35">
      <c r="G11" t="s">
        <v>106</v>
      </c>
      <c r="H11">
        <f>SUMPRODUCT((MONTH(Data!$B$2:$B$51)=10)*Data!$I$2:$I$51)</f>
        <v>0</v>
      </c>
    </row>
    <row r="12" spans="1:11" x14ac:dyDescent="0.35">
      <c r="G12" t="s">
        <v>107</v>
      </c>
      <c r="H12">
        <f>SUMPRODUCT((MONTH(Data!$B$2:$B$51)=11)*Data!$I$2:$I$51)</f>
        <v>0</v>
      </c>
    </row>
    <row r="13" spans="1:11" x14ac:dyDescent="0.35">
      <c r="G13" t="s">
        <v>108</v>
      </c>
      <c r="H13">
        <f>SUMPRODUCT((MONTH(Data!$B$2:$B$51)=12)*Data!$I$2:$I$51)</f>
        <v>0</v>
      </c>
    </row>
  </sheetData>
  <sortState ref="J2:K9">
    <sortCondition descending="1" ref="K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Data</vt:lpstr>
      <vt:lpstr>ChartData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Faizan Banday</cp:lastModifiedBy>
  <cp:revision>0</cp:revision>
  <dcterms:created xsi:type="dcterms:W3CDTF">2026-09-27T14:44:46Z</dcterms:created>
  <dcterms:modified xsi:type="dcterms:W3CDTF">2026-09-27T15:33:31Z</dcterms:modified>
  <dc:language>en-US</dc:language>
</cp:coreProperties>
</file>